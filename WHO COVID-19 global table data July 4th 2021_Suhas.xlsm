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ognizantonline-my.sharepoint.com/personal/612598_cognizant_com/Documents/Desktop/Great Learning/Capstone Project/"/>
    </mc:Choice>
  </mc:AlternateContent>
  <xr:revisionPtr revIDLastSave="0" documentId="8_{2EFFA3F3-A589-49E6-9762-C63AB1F56194}" xr6:coauthVersionLast="47" xr6:coauthVersionMax="47" xr10:uidLastSave="{00000000-0000-0000-0000-000000000000}"/>
  <bookViews>
    <workbookView xWindow="-110" yWindow="-110" windowWidth="19420" windowHeight="10420" activeTab="2"/>
  </bookViews>
  <sheets>
    <sheet name="WHO COVID-19 global table data " sheetId="1" r:id="rId1"/>
    <sheet name="Forest area (% of total land ar" sheetId="9" r:id="rId2"/>
    <sheet name="GDP per capita (2017 PPP $)" sheetId="8" r:id="rId3"/>
    <sheet name="Government expenditure on educa" sheetId="7" r:id="rId4"/>
    <sheet name="Human Development Index (HDI)_x0009_" sheetId="6" r:id="rId5"/>
    <sheet name="Income Index" sheetId="5" r:id="rId6"/>
    <sheet name="Internet users, total (% of pop" sheetId="4" r:id="rId7"/>
    <sheet name="Life expectancy index" sheetId="3" r:id="rId8"/>
    <sheet name="Literacy Rate" sheetId="2" r:id="rId9"/>
  </sheets>
  <calcPr calcId="0"/>
</workbook>
</file>

<file path=xl/calcChain.xml><?xml version="1.0" encoding="utf-8"?>
<calcChain xmlns="http://schemas.openxmlformats.org/spreadsheetml/2006/main">
  <c r="J4" i="1" l="1"/>
  <c r="J5" i="1"/>
  <c r="J6" i="1"/>
  <c r="J7" i="1"/>
  <c r="J8" i="1"/>
  <c r="J9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30" i="1"/>
  <c r="J31" i="1"/>
  <c r="J33" i="1"/>
  <c r="J34" i="1"/>
  <c r="J35" i="1"/>
  <c r="J36" i="1"/>
  <c r="J37" i="1"/>
  <c r="J38" i="1"/>
  <c r="J39" i="1"/>
  <c r="J40" i="1"/>
  <c r="J42" i="1"/>
  <c r="J43" i="1"/>
  <c r="J44" i="1"/>
  <c r="J45" i="1"/>
  <c r="J46" i="1"/>
  <c r="J47" i="1"/>
  <c r="J48" i="1"/>
  <c r="J50" i="1"/>
  <c r="J51" i="1"/>
  <c r="J53" i="1"/>
  <c r="J55" i="1"/>
  <c r="J56" i="1"/>
  <c r="J57" i="1"/>
  <c r="J58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1" i="9"/>
  <c r="I4" i="1"/>
  <c r="I5" i="1"/>
  <c r="I6" i="1"/>
  <c r="I7" i="1"/>
  <c r="I8" i="1"/>
  <c r="I9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30" i="1"/>
  <c r="I31" i="1"/>
  <c r="I33" i="1"/>
  <c r="I34" i="1"/>
  <c r="I35" i="1"/>
  <c r="I36" i="1"/>
  <c r="I37" i="1"/>
  <c r="I38" i="1"/>
  <c r="I39" i="1"/>
  <c r="I40" i="1"/>
  <c r="I42" i="1"/>
  <c r="I43" i="1"/>
  <c r="I44" i="1"/>
  <c r="I45" i="1"/>
  <c r="I46" i="1"/>
  <c r="I47" i="1"/>
  <c r="I48" i="1"/>
  <c r="I50" i="1"/>
  <c r="I51" i="1"/>
  <c r="I53" i="1"/>
  <c r="I55" i="1"/>
  <c r="I56" i="1"/>
  <c r="I57" i="1"/>
  <c r="I58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3" i="1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1" i="8"/>
  <c r="H5" i="1"/>
  <c r="H6" i="1"/>
  <c r="H7" i="1"/>
  <c r="H8" i="1"/>
  <c r="H9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30" i="1"/>
  <c r="H31" i="1"/>
  <c r="H33" i="1"/>
  <c r="H34" i="1"/>
  <c r="H35" i="1"/>
  <c r="H36" i="1"/>
  <c r="H37" i="1"/>
  <c r="H38" i="1"/>
  <c r="H39" i="1"/>
  <c r="H40" i="1"/>
  <c r="H42" i="1"/>
  <c r="H43" i="1"/>
  <c r="H44" i="1"/>
  <c r="H45" i="1"/>
  <c r="H46" i="1"/>
  <c r="H47" i="1"/>
  <c r="H48" i="1"/>
  <c r="H49" i="1"/>
  <c r="H50" i="1"/>
  <c r="H51" i="1"/>
  <c r="H53" i="1"/>
  <c r="H55" i="1"/>
  <c r="H56" i="1"/>
  <c r="H57" i="1"/>
  <c r="H58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4" i="1"/>
  <c r="H3" i="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1" i="7"/>
  <c r="G4" i="1"/>
  <c r="G5" i="1"/>
  <c r="G6" i="1"/>
  <c r="G7" i="1"/>
  <c r="G8" i="1"/>
  <c r="G9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30" i="1"/>
  <c r="G31" i="1"/>
  <c r="G33" i="1"/>
  <c r="G34" i="1"/>
  <c r="G35" i="1"/>
  <c r="G36" i="1"/>
  <c r="G37" i="1"/>
  <c r="G38" i="1"/>
  <c r="G39" i="1"/>
  <c r="G40" i="1"/>
  <c r="G42" i="1"/>
  <c r="G43" i="1"/>
  <c r="G44" i="1"/>
  <c r="G45" i="1"/>
  <c r="G46" i="1"/>
  <c r="G47" i="1"/>
  <c r="G48" i="1"/>
  <c r="G50" i="1"/>
  <c r="G51" i="1"/>
  <c r="G53" i="1"/>
  <c r="G55" i="1"/>
  <c r="G56" i="1"/>
  <c r="G57" i="1"/>
  <c r="G58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3" i="1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1" i="6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1" i="5"/>
  <c r="E4" i="1"/>
  <c r="E5" i="1"/>
  <c r="E6" i="1"/>
  <c r="E7" i="1"/>
  <c r="E8" i="1"/>
  <c r="E9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30" i="1"/>
  <c r="E31" i="1"/>
  <c r="E33" i="1"/>
  <c r="E34" i="1"/>
  <c r="E35" i="1"/>
  <c r="E36" i="1"/>
  <c r="E37" i="1"/>
  <c r="E38" i="1"/>
  <c r="E39" i="1"/>
  <c r="E40" i="1"/>
  <c r="E42" i="1"/>
  <c r="E43" i="1"/>
  <c r="E44" i="1"/>
  <c r="E45" i="1"/>
  <c r="E46" i="1"/>
  <c r="E47" i="1"/>
  <c r="E48" i="1"/>
  <c r="E50" i="1"/>
  <c r="E51" i="1"/>
  <c r="E53" i="1"/>
  <c r="E55" i="1"/>
  <c r="E56" i="1"/>
  <c r="E57" i="1"/>
  <c r="E58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3" i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1" i="4"/>
  <c r="D55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1" i="3"/>
  <c r="C33" i="1"/>
  <c r="C47" i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1" i="2"/>
  <c r="B4" i="1"/>
  <c r="C4" i="1" s="1"/>
  <c r="B5" i="1"/>
  <c r="D5" i="1" s="1"/>
  <c r="B6" i="1"/>
  <c r="D6" i="1" s="1"/>
  <c r="B7" i="1"/>
  <c r="F7" i="1" s="1"/>
  <c r="B8" i="1"/>
  <c r="D8" i="1" s="1"/>
  <c r="B9" i="1"/>
  <c r="F9" i="1" s="1"/>
  <c r="B10" i="1"/>
  <c r="B11" i="1"/>
  <c r="F11" i="1" s="1"/>
  <c r="B12" i="1"/>
  <c r="F12" i="1" s="1"/>
  <c r="B13" i="1"/>
  <c r="C13" i="1" s="1"/>
  <c r="B14" i="1"/>
  <c r="D14" i="1" s="1"/>
  <c r="B15" i="1"/>
  <c r="C15" i="1" s="1"/>
  <c r="B16" i="1"/>
  <c r="D16" i="1" s="1"/>
  <c r="B17" i="1"/>
  <c r="C17" i="1" s="1"/>
  <c r="B18" i="1"/>
  <c r="D18" i="1" s="1"/>
  <c r="B19" i="1"/>
  <c r="F19" i="1" s="1"/>
  <c r="B20" i="1"/>
  <c r="F20" i="1" s="1"/>
  <c r="B21" i="1"/>
  <c r="C21" i="1" s="1"/>
  <c r="B22" i="1"/>
  <c r="D22" i="1" s="1"/>
  <c r="B23" i="1"/>
  <c r="C23" i="1" s="1"/>
  <c r="B24" i="1"/>
  <c r="D24" i="1" s="1"/>
  <c r="B25" i="1"/>
  <c r="C25" i="1" s="1"/>
  <c r="B26" i="1"/>
  <c r="D26" i="1" s="1"/>
  <c r="B27" i="1"/>
  <c r="F27" i="1" s="1"/>
  <c r="B28" i="1"/>
  <c r="F28" i="1" s="1"/>
  <c r="B29" i="1"/>
  <c r="C29" i="1" s="1"/>
  <c r="B30" i="1"/>
  <c r="C30" i="1" s="1"/>
  <c r="B31" i="1"/>
  <c r="C31" i="1" s="1"/>
  <c r="B32" i="1"/>
  <c r="B33" i="1"/>
  <c r="F33" i="1" s="1"/>
  <c r="B34" i="1"/>
  <c r="D34" i="1" s="1"/>
  <c r="B35" i="1"/>
  <c r="F35" i="1" s="1"/>
  <c r="B36" i="1"/>
  <c r="D36" i="1" s="1"/>
  <c r="B37" i="1"/>
  <c r="F37" i="1" s="1"/>
  <c r="B38" i="1"/>
  <c r="C38" i="1" s="1"/>
  <c r="B39" i="1"/>
  <c r="F39" i="1" s="1"/>
  <c r="B40" i="1"/>
  <c r="F40" i="1" s="1"/>
  <c r="B41" i="1"/>
  <c r="C41" i="1" s="1"/>
  <c r="B42" i="1"/>
  <c r="F42" i="1" s="1"/>
  <c r="B43" i="1"/>
  <c r="D43" i="1" s="1"/>
  <c r="B44" i="1"/>
  <c r="F44" i="1" s="1"/>
  <c r="B45" i="1"/>
  <c r="D45" i="1" s="1"/>
  <c r="B46" i="1"/>
  <c r="F46" i="1" s="1"/>
  <c r="B47" i="1"/>
  <c r="F47" i="1" s="1"/>
  <c r="B48" i="1"/>
  <c r="F48" i="1" s="1"/>
  <c r="B49" i="1"/>
  <c r="B50" i="1"/>
  <c r="F50" i="1" s="1"/>
  <c r="B51" i="1"/>
  <c r="F51" i="1" s="1"/>
  <c r="B52" i="1"/>
  <c r="B53" i="1"/>
  <c r="D53" i="1" s="1"/>
  <c r="B54" i="1"/>
  <c r="B55" i="1"/>
  <c r="F55" i="1" s="1"/>
  <c r="B56" i="1"/>
  <c r="D56" i="1" s="1"/>
  <c r="B57" i="1"/>
  <c r="F57" i="1" s="1"/>
  <c r="B58" i="1"/>
  <c r="F58" i="1" s="1"/>
  <c r="B59" i="1"/>
  <c r="B60" i="1"/>
  <c r="B61" i="1"/>
  <c r="C61" i="1" s="1"/>
  <c r="B62" i="1"/>
  <c r="D62" i="1" s="1"/>
  <c r="B63" i="1"/>
  <c r="F63" i="1" s="1"/>
  <c r="B64" i="1"/>
  <c r="D64" i="1" s="1"/>
  <c r="B65" i="1"/>
  <c r="F65" i="1" s="1"/>
  <c r="B66" i="1"/>
  <c r="C66" i="1" s="1"/>
  <c r="B67" i="1"/>
  <c r="F67" i="1" s="1"/>
  <c r="B68" i="1"/>
  <c r="F68" i="1" s="1"/>
  <c r="B69" i="1"/>
  <c r="F69" i="1" s="1"/>
  <c r="B70" i="1"/>
  <c r="D70" i="1" s="1"/>
  <c r="B71" i="1"/>
  <c r="F71" i="1" s="1"/>
  <c r="B72" i="1"/>
  <c r="D72" i="1" s="1"/>
  <c r="B73" i="1"/>
  <c r="F73" i="1" s="1"/>
  <c r="B74" i="1"/>
  <c r="D74" i="1" s="1"/>
  <c r="B75" i="1"/>
  <c r="F75" i="1" s="1"/>
  <c r="B76" i="1"/>
  <c r="F76" i="1" s="1"/>
  <c r="B77" i="1"/>
  <c r="C77" i="1" s="1"/>
  <c r="B78" i="1"/>
  <c r="D78" i="1" s="1"/>
  <c r="B79" i="1"/>
  <c r="F79" i="1" s="1"/>
  <c r="B80" i="1"/>
  <c r="D80" i="1" s="1"/>
  <c r="B81" i="1"/>
  <c r="F81" i="1" s="1"/>
  <c r="B82" i="1"/>
  <c r="D82" i="1" s="1"/>
  <c r="B83" i="1"/>
  <c r="F83" i="1" s="1"/>
  <c r="B84" i="1"/>
  <c r="F84" i="1" s="1"/>
  <c r="B85" i="1"/>
  <c r="F85" i="1" s="1"/>
  <c r="B86" i="1"/>
  <c r="D86" i="1" s="1"/>
  <c r="B87" i="1"/>
  <c r="F87" i="1" s="1"/>
  <c r="B88" i="1"/>
  <c r="D88" i="1" s="1"/>
  <c r="B89" i="1"/>
  <c r="F89" i="1" s="1"/>
  <c r="B90" i="1"/>
  <c r="C90" i="1" s="1"/>
  <c r="B91" i="1"/>
  <c r="F91" i="1" s="1"/>
  <c r="B92" i="1"/>
  <c r="F92" i="1" s="1"/>
  <c r="B93" i="1"/>
  <c r="F93" i="1" s="1"/>
  <c r="B94" i="1"/>
  <c r="C94" i="1" s="1"/>
  <c r="B95" i="1"/>
  <c r="F95" i="1" s="1"/>
  <c r="B96" i="1"/>
  <c r="D96" i="1" s="1"/>
  <c r="B97" i="1"/>
  <c r="F97" i="1" s="1"/>
  <c r="B98" i="1"/>
  <c r="D98" i="1" s="1"/>
  <c r="B99" i="1"/>
  <c r="F99" i="1" s="1"/>
  <c r="B100" i="1"/>
  <c r="F100" i="1" s="1"/>
  <c r="B101" i="1"/>
  <c r="F101" i="1" s="1"/>
  <c r="B102" i="1"/>
  <c r="D102" i="1" s="1"/>
  <c r="B103" i="1"/>
  <c r="F103" i="1" s="1"/>
  <c r="B104" i="1"/>
  <c r="D104" i="1" s="1"/>
  <c r="B105" i="1"/>
  <c r="F105" i="1" s="1"/>
  <c r="B106" i="1"/>
  <c r="D106" i="1" s="1"/>
  <c r="B107" i="1"/>
  <c r="F107" i="1" s="1"/>
  <c r="B108" i="1"/>
  <c r="F108" i="1" s="1"/>
  <c r="B109" i="1"/>
  <c r="F109" i="1" s="1"/>
  <c r="B110" i="1"/>
  <c r="D110" i="1" s="1"/>
  <c r="B111" i="1"/>
  <c r="F111" i="1" s="1"/>
  <c r="B112" i="1"/>
  <c r="D112" i="1" s="1"/>
  <c r="B113" i="1"/>
  <c r="F113" i="1" s="1"/>
  <c r="B114" i="1"/>
  <c r="D114" i="1" s="1"/>
  <c r="B115" i="1"/>
  <c r="F115" i="1" s="1"/>
  <c r="B116" i="1"/>
  <c r="C116" i="1" s="1"/>
  <c r="B117" i="1"/>
  <c r="F117" i="1" s="1"/>
  <c r="B118" i="1"/>
  <c r="D118" i="1" s="1"/>
  <c r="B119" i="1"/>
  <c r="F119" i="1" s="1"/>
  <c r="B120" i="1"/>
  <c r="D120" i="1" s="1"/>
  <c r="B121" i="1"/>
  <c r="F121" i="1" s="1"/>
  <c r="B122" i="1"/>
  <c r="D122" i="1" s="1"/>
  <c r="B123" i="1"/>
  <c r="F123" i="1" s="1"/>
  <c r="B124" i="1"/>
  <c r="F124" i="1" s="1"/>
  <c r="B125" i="1"/>
  <c r="F125" i="1" s="1"/>
  <c r="B126" i="1"/>
  <c r="C126" i="1" s="1"/>
  <c r="B127" i="1"/>
  <c r="F127" i="1" s="1"/>
  <c r="B128" i="1"/>
  <c r="D128" i="1" s="1"/>
  <c r="B129" i="1"/>
  <c r="F129" i="1" s="1"/>
  <c r="B130" i="1"/>
  <c r="D130" i="1" s="1"/>
  <c r="B131" i="1"/>
  <c r="F131" i="1" s="1"/>
  <c r="B132" i="1"/>
  <c r="F132" i="1" s="1"/>
  <c r="B133" i="1"/>
  <c r="F133" i="1" s="1"/>
  <c r="B134" i="1"/>
  <c r="D134" i="1" s="1"/>
  <c r="B135" i="1"/>
  <c r="C135" i="1" s="1"/>
  <c r="B136" i="1"/>
  <c r="D136" i="1" s="1"/>
  <c r="B137" i="1"/>
  <c r="F137" i="1" s="1"/>
  <c r="B138" i="1"/>
  <c r="C138" i="1" s="1"/>
  <c r="B139" i="1"/>
  <c r="F139" i="1" s="1"/>
  <c r="B140" i="1"/>
  <c r="F140" i="1" s="1"/>
  <c r="B141" i="1"/>
  <c r="F141" i="1" s="1"/>
  <c r="B142" i="1"/>
  <c r="C142" i="1" s="1"/>
  <c r="B143" i="1"/>
  <c r="F143" i="1" s="1"/>
  <c r="B144" i="1"/>
  <c r="D144" i="1" s="1"/>
  <c r="B145" i="1"/>
  <c r="F145" i="1" s="1"/>
  <c r="B146" i="1"/>
  <c r="D146" i="1" s="1"/>
  <c r="B147" i="1"/>
  <c r="F147" i="1" s="1"/>
  <c r="B148" i="1"/>
  <c r="F148" i="1" s="1"/>
  <c r="B149" i="1"/>
  <c r="F149" i="1" s="1"/>
  <c r="B150" i="1"/>
  <c r="C150" i="1" s="1"/>
  <c r="B151" i="1"/>
  <c r="F151" i="1" s="1"/>
  <c r="B152" i="1"/>
  <c r="D152" i="1" s="1"/>
  <c r="B153" i="1"/>
  <c r="F153" i="1" s="1"/>
  <c r="B154" i="1"/>
  <c r="D154" i="1" s="1"/>
  <c r="B155" i="1"/>
  <c r="F155" i="1" s="1"/>
  <c r="B156" i="1"/>
  <c r="F156" i="1" s="1"/>
  <c r="B157" i="1"/>
  <c r="C157" i="1" s="1"/>
  <c r="B158" i="1"/>
  <c r="D158" i="1" s="1"/>
  <c r="B159" i="1"/>
  <c r="F159" i="1" s="1"/>
  <c r="B160" i="1"/>
  <c r="D160" i="1" s="1"/>
  <c r="B161" i="1"/>
  <c r="F161" i="1" s="1"/>
  <c r="B162" i="1"/>
  <c r="C162" i="1" s="1"/>
  <c r="B163" i="1"/>
  <c r="F163" i="1" s="1"/>
  <c r="B164" i="1"/>
  <c r="F164" i="1" s="1"/>
  <c r="B165" i="1"/>
  <c r="F165" i="1" s="1"/>
  <c r="B166" i="1"/>
  <c r="D166" i="1" s="1"/>
  <c r="B167" i="1"/>
  <c r="C167" i="1" s="1"/>
  <c r="B168" i="1"/>
  <c r="D168" i="1" s="1"/>
  <c r="B169" i="1"/>
  <c r="F169" i="1" s="1"/>
  <c r="B170" i="1"/>
  <c r="D170" i="1" s="1"/>
  <c r="B171" i="1"/>
  <c r="F171" i="1" s="1"/>
  <c r="B172" i="1"/>
  <c r="F172" i="1" s="1"/>
  <c r="B173" i="1"/>
  <c r="F173" i="1" s="1"/>
  <c r="B174" i="1"/>
  <c r="C174" i="1" s="1"/>
  <c r="B175" i="1"/>
  <c r="F175" i="1" s="1"/>
  <c r="B176" i="1"/>
  <c r="D176" i="1" s="1"/>
  <c r="B177" i="1"/>
  <c r="F177" i="1" s="1"/>
  <c r="B178" i="1"/>
  <c r="D178" i="1" s="1"/>
  <c r="B179" i="1"/>
  <c r="F179" i="1" s="1"/>
  <c r="B180" i="1"/>
  <c r="F180" i="1" s="1"/>
  <c r="B181" i="1"/>
  <c r="F181" i="1" s="1"/>
  <c r="B182" i="1"/>
  <c r="D182" i="1" s="1"/>
  <c r="B183" i="1"/>
  <c r="F183" i="1" s="1"/>
  <c r="B184" i="1"/>
  <c r="D184" i="1" s="1"/>
  <c r="B185" i="1"/>
  <c r="F185" i="1" s="1"/>
  <c r="B186" i="1"/>
  <c r="D186" i="1" s="1"/>
  <c r="B187" i="1"/>
  <c r="F187" i="1" s="1"/>
  <c r="B188" i="1"/>
  <c r="F188" i="1" s="1"/>
  <c r="B189" i="1"/>
  <c r="F189" i="1" s="1"/>
  <c r="B190" i="1"/>
  <c r="D190" i="1" s="1"/>
  <c r="B191" i="1"/>
  <c r="F191" i="1" s="1"/>
  <c r="B192" i="1"/>
  <c r="D192" i="1" s="1"/>
  <c r="B193" i="1"/>
  <c r="C193" i="1" s="1"/>
  <c r="B194" i="1"/>
  <c r="C194" i="1" s="1"/>
  <c r="B195" i="1"/>
  <c r="F195" i="1" s="1"/>
  <c r="B196" i="1"/>
  <c r="F196" i="1" s="1"/>
  <c r="B197" i="1"/>
  <c r="F197" i="1" s="1"/>
  <c r="B198" i="1"/>
  <c r="D198" i="1" s="1"/>
  <c r="B199" i="1"/>
  <c r="F199" i="1" s="1"/>
  <c r="B200" i="1"/>
  <c r="D200" i="1" s="1"/>
  <c r="B201" i="1"/>
  <c r="C201" i="1" s="1"/>
  <c r="B202" i="1"/>
  <c r="C202" i="1" s="1"/>
  <c r="B203" i="1"/>
  <c r="F203" i="1" s="1"/>
  <c r="B204" i="1"/>
  <c r="F204" i="1" s="1"/>
  <c r="B205" i="1"/>
  <c r="F205" i="1" s="1"/>
  <c r="B206" i="1"/>
  <c r="D206" i="1" s="1"/>
  <c r="B207" i="1"/>
  <c r="F207" i="1" s="1"/>
  <c r="B208" i="1"/>
  <c r="D208" i="1" s="1"/>
  <c r="B209" i="1"/>
  <c r="C209" i="1" s="1"/>
  <c r="B210" i="1"/>
  <c r="C210" i="1" s="1"/>
  <c r="B211" i="1"/>
  <c r="F211" i="1" s="1"/>
  <c r="B212" i="1"/>
  <c r="F212" i="1" s="1"/>
  <c r="B213" i="1"/>
  <c r="F213" i="1" s="1"/>
  <c r="B214" i="1"/>
  <c r="D214" i="1" s="1"/>
  <c r="B215" i="1"/>
  <c r="F215" i="1" s="1"/>
  <c r="B216" i="1"/>
  <c r="D216" i="1" s="1"/>
  <c r="B217" i="1"/>
  <c r="C217" i="1" s="1"/>
  <c r="B218" i="1"/>
  <c r="C218" i="1" s="1"/>
  <c r="B219" i="1"/>
  <c r="F219" i="1" s="1"/>
  <c r="B220" i="1"/>
  <c r="F220" i="1" s="1"/>
  <c r="B221" i="1"/>
  <c r="F221" i="1" s="1"/>
  <c r="B222" i="1"/>
  <c r="D222" i="1" s="1"/>
  <c r="B223" i="1"/>
  <c r="F223" i="1" s="1"/>
  <c r="B224" i="1"/>
  <c r="D224" i="1" s="1"/>
  <c r="B225" i="1"/>
  <c r="C225" i="1" s="1"/>
  <c r="B226" i="1"/>
  <c r="C226" i="1" s="1"/>
  <c r="B227" i="1"/>
  <c r="F227" i="1" s="1"/>
  <c r="B228" i="1"/>
  <c r="F228" i="1" s="1"/>
  <c r="B229" i="1"/>
  <c r="F229" i="1" s="1"/>
  <c r="B230" i="1"/>
  <c r="D230" i="1" s="1"/>
  <c r="B231" i="1"/>
  <c r="F231" i="1" s="1"/>
  <c r="B232" i="1"/>
  <c r="D232" i="1" s="1"/>
  <c r="B233" i="1"/>
  <c r="C233" i="1" s="1"/>
  <c r="B234" i="1"/>
  <c r="D234" i="1" s="1"/>
  <c r="B235" i="1"/>
  <c r="F235" i="1" s="1"/>
  <c r="B236" i="1"/>
  <c r="F236" i="1" s="1"/>
  <c r="B237" i="1"/>
  <c r="F237" i="1" s="1"/>
  <c r="B238" i="1"/>
  <c r="D238" i="1" s="1"/>
  <c r="B239" i="1"/>
  <c r="F239" i="1" s="1"/>
  <c r="B3" i="1"/>
  <c r="F3" i="1" s="1"/>
  <c r="D39" i="1" l="1"/>
  <c r="C7" i="1"/>
  <c r="D7" i="1"/>
  <c r="D219" i="1"/>
  <c r="F198" i="1"/>
  <c r="D177" i="1"/>
  <c r="F134" i="1"/>
  <c r="C214" i="1"/>
  <c r="D155" i="1"/>
  <c r="F70" i="1"/>
  <c r="C124" i="1"/>
  <c r="D113" i="1"/>
  <c r="C70" i="1"/>
  <c r="D91" i="1"/>
  <c r="C212" i="1"/>
  <c r="C119" i="1"/>
  <c r="C43" i="1"/>
  <c r="D237" i="1"/>
  <c r="D217" i="1"/>
  <c r="D195" i="1"/>
  <c r="D173" i="1"/>
  <c r="D153" i="1"/>
  <c r="D131" i="1"/>
  <c r="D109" i="1"/>
  <c r="D89" i="1"/>
  <c r="D67" i="1"/>
  <c r="D37" i="1"/>
  <c r="D11" i="1"/>
  <c r="F190" i="1"/>
  <c r="F126" i="1"/>
  <c r="F62" i="1"/>
  <c r="C5" i="1"/>
  <c r="D133" i="1"/>
  <c r="C238" i="1"/>
  <c r="C206" i="1"/>
  <c r="C100" i="1"/>
  <c r="D235" i="1"/>
  <c r="D213" i="1"/>
  <c r="D193" i="1"/>
  <c r="D171" i="1"/>
  <c r="D149" i="1"/>
  <c r="D129" i="1"/>
  <c r="D107" i="1"/>
  <c r="D85" i="1"/>
  <c r="D65" i="1"/>
  <c r="D35" i="1"/>
  <c r="F182" i="1"/>
  <c r="F118" i="1"/>
  <c r="F31" i="1"/>
  <c r="C236" i="1"/>
  <c r="C204" i="1"/>
  <c r="C86" i="1"/>
  <c r="C39" i="1"/>
  <c r="D233" i="1"/>
  <c r="D211" i="1"/>
  <c r="D189" i="1"/>
  <c r="D169" i="1"/>
  <c r="D147" i="1"/>
  <c r="D125" i="1"/>
  <c r="D105" i="1"/>
  <c r="D83" i="1"/>
  <c r="D61" i="1"/>
  <c r="D27" i="1"/>
  <c r="F238" i="1"/>
  <c r="F174" i="1"/>
  <c r="F110" i="1"/>
  <c r="F22" i="1"/>
  <c r="D69" i="1"/>
  <c r="C230" i="1"/>
  <c r="C198" i="1"/>
  <c r="C83" i="1"/>
  <c r="C35" i="1"/>
  <c r="D229" i="1"/>
  <c r="D209" i="1"/>
  <c r="D187" i="1"/>
  <c r="D165" i="1"/>
  <c r="D145" i="1"/>
  <c r="D123" i="1"/>
  <c r="D101" i="1"/>
  <c r="D81" i="1"/>
  <c r="D57" i="1"/>
  <c r="D25" i="1"/>
  <c r="F230" i="1"/>
  <c r="F166" i="1"/>
  <c r="F102" i="1"/>
  <c r="F14" i="1"/>
  <c r="C228" i="1"/>
  <c r="C196" i="1"/>
  <c r="D227" i="1"/>
  <c r="D205" i="1"/>
  <c r="D185" i="1"/>
  <c r="D163" i="1"/>
  <c r="D141" i="1"/>
  <c r="D121" i="1"/>
  <c r="D99" i="1"/>
  <c r="D77" i="1"/>
  <c r="D21" i="1"/>
  <c r="F222" i="1"/>
  <c r="F158" i="1"/>
  <c r="F94" i="1"/>
  <c r="F5" i="1"/>
  <c r="C222" i="1"/>
  <c r="C170" i="1"/>
  <c r="C55" i="1"/>
  <c r="C9" i="1"/>
  <c r="D225" i="1"/>
  <c r="D203" i="1"/>
  <c r="D181" i="1"/>
  <c r="D161" i="1"/>
  <c r="D139" i="1"/>
  <c r="D117" i="1"/>
  <c r="D97" i="1"/>
  <c r="D75" i="1"/>
  <c r="D46" i="1"/>
  <c r="D19" i="1"/>
  <c r="F214" i="1"/>
  <c r="F150" i="1"/>
  <c r="F86" i="1"/>
  <c r="D197" i="1"/>
  <c r="D13" i="1"/>
  <c r="C220" i="1"/>
  <c r="C146" i="1"/>
  <c r="C51" i="1"/>
  <c r="D221" i="1"/>
  <c r="D201" i="1"/>
  <c r="D179" i="1"/>
  <c r="D157" i="1"/>
  <c r="D137" i="1"/>
  <c r="D115" i="1"/>
  <c r="D93" i="1"/>
  <c r="D73" i="1"/>
  <c r="D44" i="1"/>
  <c r="D17" i="1"/>
  <c r="F206" i="1"/>
  <c r="F142" i="1"/>
  <c r="F78" i="1"/>
  <c r="C24" i="1"/>
  <c r="C234" i="1"/>
  <c r="C22" i="1"/>
  <c r="C232" i="1"/>
  <c r="C224" i="1"/>
  <c r="C216" i="1"/>
  <c r="C208" i="1"/>
  <c r="C200" i="1"/>
  <c r="C192" i="1"/>
  <c r="C154" i="1"/>
  <c r="C132" i="1"/>
  <c r="C114" i="1"/>
  <c r="C89" i="1"/>
  <c r="C76" i="1"/>
  <c r="C57" i="1"/>
  <c r="C45" i="1"/>
  <c r="C37" i="1"/>
  <c r="C28" i="1"/>
  <c r="C20" i="1"/>
  <c r="C12" i="1"/>
  <c r="D239" i="1"/>
  <c r="D231" i="1"/>
  <c r="D223" i="1"/>
  <c r="D215" i="1"/>
  <c r="D207" i="1"/>
  <c r="D199" i="1"/>
  <c r="D191" i="1"/>
  <c r="D183" i="1"/>
  <c r="D175" i="1"/>
  <c r="D167" i="1"/>
  <c r="D159" i="1"/>
  <c r="D151" i="1"/>
  <c r="D143" i="1"/>
  <c r="D135" i="1"/>
  <c r="D127" i="1"/>
  <c r="D119" i="1"/>
  <c r="D111" i="1"/>
  <c r="D103" i="1"/>
  <c r="D95" i="1"/>
  <c r="D87" i="1"/>
  <c r="D79" i="1"/>
  <c r="D71" i="1"/>
  <c r="D63" i="1"/>
  <c r="D51" i="1"/>
  <c r="D42" i="1"/>
  <c r="D33" i="1"/>
  <c r="D23" i="1"/>
  <c r="D15" i="1"/>
  <c r="F234" i="1"/>
  <c r="F226" i="1"/>
  <c r="F218" i="1"/>
  <c r="F210" i="1"/>
  <c r="F202" i="1"/>
  <c r="F194" i="1"/>
  <c r="F186" i="1"/>
  <c r="F178" i="1"/>
  <c r="F170" i="1"/>
  <c r="F162" i="1"/>
  <c r="F154" i="1"/>
  <c r="F146" i="1"/>
  <c r="F138" i="1"/>
  <c r="F130" i="1"/>
  <c r="F122" i="1"/>
  <c r="F114" i="1"/>
  <c r="F106" i="1"/>
  <c r="F98" i="1"/>
  <c r="F90" i="1"/>
  <c r="F82" i="1"/>
  <c r="F74" i="1"/>
  <c r="F66" i="1"/>
  <c r="F56" i="1"/>
  <c r="F45" i="1"/>
  <c r="F36" i="1"/>
  <c r="F26" i="1"/>
  <c r="F18" i="1"/>
  <c r="C14" i="1"/>
  <c r="C239" i="1"/>
  <c r="C231" i="1"/>
  <c r="C223" i="1"/>
  <c r="C215" i="1"/>
  <c r="C207" i="1"/>
  <c r="C199" i="1"/>
  <c r="C186" i="1"/>
  <c r="C153" i="1"/>
  <c r="C130" i="1"/>
  <c r="C113" i="1"/>
  <c r="C88" i="1"/>
  <c r="C73" i="1"/>
  <c r="C56" i="1"/>
  <c r="C44" i="1"/>
  <c r="C36" i="1"/>
  <c r="C27" i="1"/>
  <c r="C19" i="1"/>
  <c r="C11" i="1"/>
  <c r="D174" i="1"/>
  <c r="D150" i="1"/>
  <c r="D142" i="1"/>
  <c r="D126" i="1"/>
  <c r="D94" i="1"/>
  <c r="D50" i="1"/>
  <c r="D40" i="1"/>
  <c r="D31" i="1"/>
  <c r="D4" i="1"/>
  <c r="F233" i="1"/>
  <c r="F225" i="1"/>
  <c r="F217" i="1"/>
  <c r="F209" i="1"/>
  <c r="F201" i="1"/>
  <c r="F193" i="1"/>
  <c r="F25" i="1"/>
  <c r="F17" i="1"/>
  <c r="F8" i="1"/>
  <c r="C178" i="1"/>
  <c r="C72" i="1"/>
  <c r="F232" i="1"/>
  <c r="F224" i="1"/>
  <c r="F216" i="1"/>
  <c r="F208" i="1"/>
  <c r="F200" i="1"/>
  <c r="F192" i="1"/>
  <c r="F184" i="1"/>
  <c r="F176" i="1"/>
  <c r="F168" i="1"/>
  <c r="F160" i="1"/>
  <c r="F152" i="1"/>
  <c r="F144" i="1"/>
  <c r="F136" i="1"/>
  <c r="F128" i="1"/>
  <c r="F120" i="1"/>
  <c r="F112" i="1"/>
  <c r="F104" i="1"/>
  <c r="F96" i="1"/>
  <c r="F88" i="1"/>
  <c r="F80" i="1"/>
  <c r="F72" i="1"/>
  <c r="F64" i="1"/>
  <c r="F53" i="1"/>
  <c r="F43" i="1"/>
  <c r="F34" i="1"/>
  <c r="F24" i="1"/>
  <c r="F16" i="1"/>
  <c r="C16" i="1"/>
  <c r="C152" i="1"/>
  <c r="C128" i="1"/>
  <c r="C106" i="1"/>
  <c r="C26" i="1"/>
  <c r="C18" i="1"/>
  <c r="D48" i="1"/>
  <c r="D30" i="1"/>
  <c r="C237" i="1"/>
  <c r="C229" i="1"/>
  <c r="C221" i="1"/>
  <c r="C213" i="1"/>
  <c r="C205" i="1"/>
  <c r="C197" i="1"/>
  <c r="C103" i="1"/>
  <c r="C85" i="1"/>
  <c r="C71" i="1"/>
  <c r="C53" i="1"/>
  <c r="C42" i="1"/>
  <c r="C34" i="1"/>
  <c r="C8" i="1"/>
  <c r="D236" i="1"/>
  <c r="D228" i="1"/>
  <c r="D220" i="1"/>
  <c r="D212" i="1"/>
  <c r="D204" i="1"/>
  <c r="D196" i="1"/>
  <c r="D188" i="1"/>
  <c r="D180" i="1"/>
  <c r="D172" i="1"/>
  <c r="D164" i="1"/>
  <c r="D156" i="1"/>
  <c r="D148" i="1"/>
  <c r="D140" i="1"/>
  <c r="D132" i="1"/>
  <c r="D124" i="1"/>
  <c r="D116" i="1"/>
  <c r="D108" i="1"/>
  <c r="D100" i="1"/>
  <c r="D92" i="1"/>
  <c r="D84" i="1"/>
  <c r="D76" i="1"/>
  <c r="D68" i="1"/>
  <c r="D58" i="1"/>
  <c r="D47" i="1"/>
  <c r="D38" i="1"/>
  <c r="D28" i="1"/>
  <c r="D20" i="1"/>
  <c r="D12" i="1"/>
  <c r="F167" i="1"/>
  <c r="F135" i="1"/>
  <c r="F23" i="1"/>
  <c r="F15" i="1"/>
  <c r="F6" i="1"/>
  <c r="C235" i="1"/>
  <c r="C227" i="1"/>
  <c r="C219" i="1"/>
  <c r="C211" i="1"/>
  <c r="C203" i="1"/>
  <c r="C195" i="1"/>
  <c r="C122" i="1"/>
  <c r="C98" i="1"/>
  <c r="C82" i="1"/>
  <c r="C68" i="1"/>
  <c r="C50" i="1"/>
  <c r="C40" i="1"/>
  <c r="C6" i="1"/>
  <c r="D226" i="1"/>
  <c r="D218" i="1"/>
  <c r="D210" i="1"/>
  <c r="D202" i="1"/>
  <c r="D194" i="1"/>
  <c r="D162" i="1"/>
  <c r="D138" i="1"/>
  <c r="D90" i="1"/>
  <c r="D66" i="1"/>
  <c r="F157" i="1"/>
  <c r="F77" i="1"/>
  <c r="F61" i="1"/>
  <c r="F30" i="1"/>
  <c r="F21" i="1"/>
  <c r="F13" i="1"/>
  <c r="F4" i="1"/>
  <c r="C80" i="1"/>
  <c r="F116" i="1"/>
  <c r="F38" i="1"/>
  <c r="C46" i="1"/>
  <c r="C180" i="1"/>
  <c r="C172" i="1"/>
  <c r="C156" i="1"/>
  <c r="C148" i="1"/>
  <c r="C140" i="1"/>
  <c r="C108" i="1"/>
  <c r="C187" i="1"/>
  <c r="C179" i="1"/>
  <c r="C171" i="1"/>
  <c r="C163" i="1"/>
  <c r="C155" i="1"/>
  <c r="C147" i="1"/>
  <c r="C139" i="1"/>
  <c r="C131" i="1"/>
  <c r="C123" i="1"/>
  <c r="C115" i="1"/>
  <c r="C107" i="1"/>
  <c r="C99" i="1"/>
  <c r="C91" i="1"/>
  <c r="C75" i="1"/>
  <c r="C67" i="1"/>
  <c r="C185" i="1"/>
  <c r="C177" i="1"/>
  <c r="C169" i="1"/>
  <c r="C161" i="1"/>
  <c r="C145" i="1"/>
  <c r="C137" i="1"/>
  <c r="C129" i="1"/>
  <c r="C121" i="1"/>
  <c r="C105" i="1"/>
  <c r="C97" i="1"/>
  <c r="C81" i="1"/>
  <c r="C65" i="1"/>
  <c r="C176" i="1"/>
  <c r="C144" i="1"/>
  <c r="C136" i="1"/>
  <c r="C120" i="1"/>
  <c r="C112" i="1"/>
  <c r="C104" i="1"/>
  <c r="C96" i="1"/>
  <c r="C64" i="1"/>
  <c r="C184" i="1"/>
  <c r="C191" i="1"/>
  <c r="C183" i="1"/>
  <c r="C175" i="1"/>
  <c r="C159" i="1"/>
  <c r="C151" i="1"/>
  <c r="C143" i="1"/>
  <c r="C127" i="1"/>
  <c r="C111" i="1"/>
  <c r="C95" i="1"/>
  <c r="C87" i="1"/>
  <c r="C79" i="1"/>
  <c r="C63" i="1"/>
  <c r="C160" i="1"/>
  <c r="C190" i="1"/>
  <c r="C166" i="1"/>
  <c r="C158" i="1"/>
  <c r="C134" i="1"/>
  <c r="C118" i="1"/>
  <c r="C110" i="1"/>
  <c r="C102" i="1"/>
  <c r="C78" i="1"/>
  <c r="C62" i="1"/>
  <c r="C74" i="1"/>
  <c r="C168" i="1"/>
  <c r="C182" i="1"/>
  <c r="C189" i="1"/>
  <c r="C181" i="1"/>
  <c r="C173" i="1"/>
  <c r="C165" i="1"/>
  <c r="C149" i="1"/>
  <c r="C141" i="1"/>
  <c r="C133" i="1"/>
  <c r="C125" i="1"/>
  <c r="C117" i="1"/>
  <c r="C109" i="1"/>
  <c r="C101" i="1"/>
  <c r="C93" i="1"/>
  <c r="C69" i="1"/>
  <c r="C188" i="1"/>
  <c r="C164" i="1"/>
  <c r="C92" i="1"/>
  <c r="C84" i="1"/>
</calcChain>
</file>

<file path=xl/sharedStrings.xml><?xml version="1.0" encoding="utf-8"?>
<sst xmlns="http://schemas.openxmlformats.org/spreadsheetml/2006/main" count="2514" uniqueCount="486">
  <si>
    <t>Name</t>
  </si>
  <si>
    <t>WHO Region</t>
  </si>
  <si>
    <t>Cases - cumulative total</t>
  </si>
  <si>
    <t>Cases - cumulative total per 100000 population</t>
  </si>
  <si>
    <t>Cases - newly reported in last 7 days</t>
  </si>
  <si>
    <t>Cases - newly reported in last 7 days per 100000 population</t>
  </si>
  <si>
    <t>Cases - newly reported in last 24 hours</t>
  </si>
  <si>
    <t>Deaths - cumulative total</t>
  </si>
  <si>
    <t>Deaths - cumulative total per 100000 population</t>
  </si>
  <si>
    <t>Deaths - newly reported in last 7 days</t>
  </si>
  <si>
    <t>Deaths - newly reported in last 7 days per 100000 population</t>
  </si>
  <si>
    <t>Deaths - newly reported in last 24 hours</t>
  </si>
  <si>
    <t>Transmission Classification</t>
  </si>
  <si>
    <t>Global</t>
  </si>
  <si>
    <t>United States of America</t>
  </si>
  <si>
    <t>Americas</t>
  </si>
  <si>
    <t>Community transmission</t>
  </si>
  <si>
    <t>India</t>
  </si>
  <si>
    <t>South-East Asia</t>
  </si>
  <si>
    <t>Clusters of cases</t>
  </si>
  <si>
    <t>Brazil</t>
  </si>
  <si>
    <t>France</t>
  </si>
  <si>
    <t>Europe</t>
  </si>
  <si>
    <t>Russian Federation</t>
  </si>
  <si>
    <t>Turkey</t>
  </si>
  <si>
    <t>The United Kingdom</t>
  </si>
  <si>
    <t>Argentina</t>
  </si>
  <si>
    <t>Italy</t>
  </si>
  <si>
    <t>Colombia</t>
  </si>
  <si>
    <t>Spain</t>
  </si>
  <si>
    <t>Germany</t>
  </si>
  <si>
    <t>Iran (Islamic Republic of)</t>
  </si>
  <si>
    <t>Eastern Mediterranean</t>
  </si>
  <si>
    <t>Poland</t>
  </si>
  <si>
    <t>Mexico</t>
  </si>
  <si>
    <t>Ukraine</t>
  </si>
  <si>
    <t>Indonesia</t>
  </si>
  <si>
    <t>Peru</t>
  </si>
  <si>
    <t>South Africa</t>
  </si>
  <si>
    <t>Africa</t>
  </si>
  <si>
    <t>Netherlands</t>
  </si>
  <si>
    <t>Czechia</t>
  </si>
  <si>
    <t>Chile</t>
  </si>
  <si>
    <t>Philippines</t>
  </si>
  <si>
    <t>Western Pacific</t>
  </si>
  <si>
    <t>Canada</t>
  </si>
  <si>
    <t>Iraq</t>
  </si>
  <si>
    <t>Sweden</t>
  </si>
  <si>
    <t>Belgium</t>
  </si>
  <si>
    <t>Romania</t>
  </si>
  <si>
    <t>Pakistan</t>
  </si>
  <si>
    <t>Bangladesh</t>
  </si>
  <si>
    <t>Portugal</t>
  </si>
  <si>
    <t>Israel</t>
  </si>
  <si>
    <t>Hungary</t>
  </si>
  <si>
    <t>Japan</t>
  </si>
  <si>
    <t>Malaysia</t>
  </si>
  <si>
    <t>Jordan</t>
  </si>
  <si>
    <t>Serbia</t>
  </si>
  <si>
    <t>Switzerland</t>
  </si>
  <si>
    <t>Austria</t>
  </si>
  <si>
    <t>Nepal</t>
  </si>
  <si>
    <t>United Arab Emirates</t>
  </si>
  <si>
    <t>Lebanon</t>
  </si>
  <si>
    <t>Morocco</t>
  </si>
  <si>
    <t>Saudi Arabia</t>
  </si>
  <si>
    <t>Kazakhstan</t>
  </si>
  <si>
    <t>Ecuador</t>
  </si>
  <si>
    <t>Bolivia (Plurinational State of)</t>
  </si>
  <si>
    <t>Paraguay</t>
  </si>
  <si>
    <t>Greece</t>
  </si>
  <si>
    <t>Bulgaria</t>
  </si>
  <si>
    <t>Tunisia</t>
  </si>
  <si>
    <t>Belarus</t>
  </si>
  <si>
    <t>Panama</t>
  </si>
  <si>
    <t>Slovakia</t>
  </si>
  <si>
    <t>Uruguay</t>
  </si>
  <si>
    <t>Georgia</t>
  </si>
  <si>
    <t>Costa Rica</t>
  </si>
  <si>
    <t>Croatia</t>
  </si>
  <si>
    <t>Kuwait</t>
  </si>
  <si>
    <t>occupied Palestinian territory, including east Jerusalem</t>
  </si>
  <si>
    <t>Azerbaijan</t>
  </si>
  <si>
    <t>Dominican Republic</t>
  </si>
  <si>
    <t>Guatemala</t>
  </si>
  <si>
    <t>Denmark</t>
  </si>
  <si>
    <t>Egypt</t>
  </si>
  <si>
    <t>Lithuania</t>
  </si>
  <si>
    <t>Ethiopia</t>
  </si>
  <si>
    <t>Ireland</t>
  </si>
  <si>
    <t>Venezuela (Bolivarian Republic of)</t>
  </si>
  <si>
    <t>Thailand</t>
  </si>
  <si>
    <t>Oman</t>
  </si>
  <si>
    <t>Bahrain</t>
  </si>
  <si>
    <t>Honduras</t>
  </si>
  <si>
    <t>Sri Lanka</t>
  </si>
  <si>
    <t>Slovenia</t>
  </si>
  <si>
    <t>Republic of Moldova</t>
  </si>
  <si>
    <t>Armenia</t>
  </si>
  <si>
    <t>Qatar</t>
  </si>
  <si>
    <t>Bosnia and Herzegovina</t>
  </si>
  <si>
    <t>Cuba</t>
  </si>
  <si>
    <t>Libya</t>
  </si>
  <si>
    <t>Kenya</t>
  </si>
  <si>
    <t>Nigeria</t>
  </si>
  <si>
    <t>Myanmar</t>
  </si>
  <si>
    <t>Republic of Korea</t>
  </si>
  <si>
    <t>Zambia</t>
  </si>
  <si>
    <t>North Macedonia</t>
  </si>
  <si>
    <t>Sporadic cases</t>
  </si>
  <si>
    <t>Algeria</t>
  </si>
  <si>
    <t>Puerto Rico</t>
  </si>
  <si>
    <t>Latvia</t>
  </si>
  <si>
    <t>Albania</t>
  </si>
  <si>
    <t>Norway</t>
  </si>
  <si>
    <t>Estonia</t>
  </si>
  <si>
    <t>Kyrgyzstan</t>
  </si>
  <si>
    <t>Afghanistan</t>
  </si>
  <si>
    <t>China</t>
  </si>
  <si>
    <t>Mongolia</t>
  </si>
  <si>
    <t>Uzbekistan</t>
  </si>
  <si>
    <t>Kosovo[1]</t>
  </si>
  <si>
    <t>Montenegro</t>
  </si>
  <si>
    <t>Finland</t>
  </si>
  <si>
    <t>Ghana</t>
  </si>
  <si>
    <t>Namibia</t>
  </si>
  <si>
    <t>Uganda</t>
  </si>
  <si>
    <t>Cameroon</t>
  </si>
  <si>
    <t>El Salvador</t>
  </si>
  <si>
    <t>Mozambique</t>
  </si>
  <si>
    <t>Cyprus</t>
  </si>
  <si>
    <t>Maldives</t>
  </si>
  <si>
    <t>Botswana</t>
  </si>
  <si>
    <t>Luxembourg</t>
  </si>
  <si>
    <t>Singapore</t>
  </si>
  <si>
    <t>Cambodia</t>
  </si>
  <si>
    <t>Zimbabwe</t>
  </si>
  <si>
    <t>Jamaica</t>
  </si>
  <si>
    <t>Côte d’Ivoire</t>
  </si>
  <si>
    <t>Senegal</t>
  </si>
  <si>
    <t>Madagascar</t>
  </si>
  <si>
    <t>Democratic Republic of the Congo</t>
  </si>
  <si>
    <t>Rwanda</t>
  </si>
  <si>
    <t>Angola</t>
  </si>
  <si>
    <t>Sudan</t>
  </si>
  <si>
    <t>Malawi</t>
  </si>
  <si>
    <t>Trinidad and Tobago</t>
  </si>
  <si>
    <t>Cabo Verde</t>
  </si>
  <si>
    <t>Australia</t>
  </si>
  <si>
    <t>Malta</t>
  </si>
  <si>
    <t>Réunion</t>
  </si>
  <si>
    <t>French Guiana</t>
  </si>
  <si>
    <t>Syrian Arab Republic</t>
  </si>
  <si>
    <t>Gabon</t>
  </si>
  <si>
    <t>Guinea</t>
  </si>
  <si>
    <t>Suriname</t>
  </si>
  <si>
    <t>Mauritania</t>
  </si>
  <si>
    <t>Guyana</t>
  </si>
  <si>
    <t>Mayotte</t>
  </si>
  <si>
    <t>Eswatini</t>
  </si>
  <si>
    <t>French Polynesia</t>
  </si>
  <si>
    <t>Haiti</t>
  </si>
  <si>
    <t>Viet Nam</t>
  </si>
  <si>
    <t>Guadeloupe</t>
  </si>
  <si>
    <t>Papua New Guinea</t>
  </si>
  <si>
    <t>Seychelles</t>
  </si>
  <si>
    <t>Somalia</t>
  </si>
  <si>
    <t>Mali</t>
  </si>
  <si>
    <t>Togo</t>
  </si>
  <si>
    <t>Tajikistan</t>
  </si>
  <si>
    <t>Pending</t>
  </si>
  <si>
    <t>Andorra</t>
  </si>
  <si>
    <t>Burkina Faso</t>
  </si>
  <si>
    <t>Belize</t>
  </si>
  <si>
    <t>Bahamas</t>
  </si>
  <si>
    <t>Congo</t>
  </si>
  <si>
    <t>Curaçao</t>
  </si>
  <si>
    <t>Martinique</t>
  </si>
  <si>
    <t>Djibouti</t>
  </si>
  <si>
    <t>Lesotho</t>
  </si>
  <si>
    <t>Aruba</t>
  </si>
  <si>
    <t>South Sudan</t>
  </si>
  <si>
    <t>Timor-Leste</t>
  </si>
  <si>
    <t>Equatorial Guinea</t>
  </si>
  <si>
    <t>Benin</t>
  </si>
  <si>
    <t>Guam</t>
  </si>
  <si>
    <t>Central African Republic</t>
  </si>
  <si>
    <t>Yemen</t>
  </si>
  <si>
    <t>Iceland</t>
  </si>
  <si>
    <t>Nicaragua</t>
  </si>
  <si>
    <t>Gambia</t>
  </si>
  <si>
    <t>Eritrea</t>
  </si>
  <si>
    <t>Sierra Leone</t>
  </si>
  <si>
    <t>Burundi</t>
  </si>
  <si>
    <t>Niger</t>
  </si>
  <si>
    <t>Saint Lucia</t>
  </si>
  <si>
    <t>San Marino</t>
  </si>
  <si>
    <t>Chad</t>
  </si>
  <si>
    <t>Fiji</t>
  </si>
  <si>
    <t>Gibraltar</t>
  </si>
  <si>
    <t>Liberia</t>
  </si>
  <si>
    <t>Barbados</t>
  </si>
  <si>
    <t>Comoros</t>
  </si>
  <si>
    <t>United States Virgin Islands</t>
  </si>
  <si>
    <t>Guinea-Bissau</t>
  </si>
  <si>
    <t>Jersey</t>
  </si>
  <si>
    <t>Liechtenstein</t>
  </si>
  <si>
    <t>Sint Maarten</t>
  </si>
  <si>
    <t>Monaco</t>
  </si>
  <si>
    <t>Bermuda</t>
  </si>
  <si>
    <t>Turks and Caicos Islands</t>
  </si>
  <si>
    <t>New Zealand</t>
  </si>
  <si>
    <t>Sao Tome and Principe</t>
  </si>
  <si>
    <t>Saint Martin</t>
  </si>
  <si>
    <t>Saint Vincent and the Grenadines</t>
  </si>
  <si>
    <t>Lao People's Democratic Republic</t>
  </si>
  <si>
    <t>Bhutan</t>
  </si>
  <si>
    <t>Mauritius</t>
  </si>
  <si>
    <t>Bonaire</t>
  </si>
  <si>
    <t>Isle of Man</t>
  </si>
  <si>
    <t>No cases</t>
  </si>
  <si>
    <t>Antigua and Barbuda</t>
  </si>
  <si>
    <t>Saint Barthélemy</t>
  </si>
  <si>
    <t>Guernsey</t>
  </si>
  <si>
    <t>Faroe Islands</t>
  </si>
  <si>
    <t>Other</t>
  </si>
  <si>
    <t>Not applicable</t>
  </si>
  <si>
    <t>Cayman Islands</t>
  </si>
  <si>
    <t>United Republic of Tanzania</t>
  </si>
  <si>
    <t>Wallis and Futuna</t>
  </si>
  <si>
    <t>Saint Kitts and Nevis</t>
  </si>
  <si>
    <t>British Virgin Islands</t>
  </si>
  <si>
    <t>Brunei Darussalam</t>
  </si>
  <si>
    <t>Dominica</t>
  </si>
  <si>
    <t>Northern Mariana Islands (Commonwealth of the)</t>
  </si>
  <si>
    <t>Grenada</t>
  </si>
  <si>
    <t>New Caledonia</t>
  </si>
  <si>
    <t>Anguilla</t>
  </si>
  <si>
    <t>Falkland Islands (Malvinas)</t>
  </si>
  <si>
    <t>Greenland</t>
  </si>
  <si>
    <t>Holy See</t>
  </si>
  <si>
    <t>Saint Pierre and Miquelon</t>
  </si>
  <si>
    <t>Montserrat</t>
  </si>
  <si>
    <t>Sint Eustatius</t>
  </si>
  <si>
    <t>Solomon Islands</t>
  </si>
  <si>
    <t>Saba</t>
  </si>
  <si>
    <t>Marshall Islands</t>
  </si>
  <si>
    <t>Vanuatu</t>
  </si>
  <si>
    <t>Samoa</t>
  </si>
  <si>
    <t>American Samoa</t>
  </si>
  <si>
    <t>Cook Islands</t>
  </si>
  <si>
    <t>Democratic People's Republic of Korea</t>
  </si>
  <si>
    <t>Kiribati</t>
  </si>
  <si>
    <t>Micronesia (Federated States of)</t>
  </si>
  <si>
    <t>Nauru</t>
  </si>
  <si>
    <t>Niue</t>
  </si>
  <si>
    <t>Palau</t>
  </si>
  <si>
    <t>Pitcairn Islands</t>
  </si>
  <si>
    <t>Saint Helena</t>
  </si>
  <si>
    <t>Tokelau</t>
  </si>
  <si>
    <t>Tonga</t>
  </si>
  <si>
    <t>Turkmenistan</t>
  </si>
  <si>
    <t>Tuvalu</t>
  </si>
  <si>
    <t xml:space="preserve"> Afghanistan</t>
  </si>
  <si>
    <t xml:space="preserve"> Albania</t>
  </si>
  <si>
    <t xml:space="preserve"> Algeria</t>
  </si>
  <si>
    <t xml:space="preserve"> Angola</t>
  </si>
  <si>
    <t xml:space="preserve"> Antigua and Barbuda</t>
  </si>
  <si>
    <t xml:space="preserve"> Argentina</t>
  </si>
  <si>
    <t xml:space="preserve"> Armenia</t>
  </si>
  <si>
    <t xml:space="preserve"> Azerbaijan</t>
  </si>
  <si>
    <t xml:space="preserve"> Bahrain</t>
  </si>
  <si>
    <t xml:space="preserve"> Bangladesh</t>
  </si>
  <si>
    <t xml:space="preserve"> Barbados</t>
  </si>
  <si>
    <t xml:space="preserve"> Belarus</t>
  </si>
  <si>
    <t xml:space="preserve"> Benin</t>
  </si>
  <si>
    <t xml:space="preserve"> Bhutan</t>
  </si>
  <si>
    <t xml:space="preserve"> Bolivia (Plurinational State of)</t>
  </si>
  <si>
    <t xml:space="preserve"> Bosnia and Herzegovina</t>
  </si>
  <si>
    <t xml:space="preserve"> Botswana</t>
  </si>
  <si>
    <t xml:space="preserve"> Brazil</t>
  </si>
  <si>
    <t xml:space="preserve"> Brunei Darussalam</t>
  </si>
  <si>
    <t xml:space="preserve"> Bulgaria</t>
  </si>
  <si>
    <t xml:space="preserve"> Burkina Faso</t>
  </si>
  <si>
    <t xml:space="preserve"> Burundi</t>
  </si>
  <si>
    <t xml:space="preserve"> Cabo Verde</t>
  </si>
  <si>
    <t xml:space="preserve"> Cambodia</t>
  </si>
  <si>
    <t xml:space="preserve"> Cameroon</t>
  </si>
  <si>
    <t xml:space="preserve"> Central African Republic</t>
  </si>
  <si>
    <t xml:space="preserve"> Chad</t>
  </si>
  <si>
    <t xml:space="preserve"> Chile</t>
  </si>
  <si>
    <t xml:space="preserve"> China</t>
  </si>
  <si>
    <t xml:space="preserve"> Colombia</t>
  </si>
  <si>
    <t xml:space="preserve"> Comoros</t>
  </si>
  <si>
    <t xml:space="preserve"> Congo</t>
  </si>
  <si>
    <t xml:space="preserve"> Congo (Democratic Republic of the)</t>
  </si>
  <si>
    <t xml:space="preserve"> Costa Rica</t>
  </si>
  <si>
    <t xml:space="preserve"> Croatia</t>
  </si>
  <si>
    <t xml:space="preserve"> Cuba</t>
  </si>
  <si>
    <t xml:space="preserve"> Cyprus</t>
  </si>
  <si>
    <t xml:space="preserve"> Côte d'Ivoire</t>
  </si>
  <si>
    <t xml:space="preserve"> Dominican Republic</t>
  </si>
  <si>
    <t xml:space="preserve"> Ecuador</t>
  </si>
  <si>
    <t xml:space="preserve"> Egypt</t>
  </si>
  <si>
    <t xml:space="preserve"> El Salvador</t>
  </si>
  <si>
    <t xml:space="preserve"> Equatorial Guinea</t>
  </si>
  <si>
    <t xml:space="preserve"> Eritrea</t>
  </si>
  <si>
    <t xml:space="preserve"> Estonia</t>
  </si>
  <si>
    <t xml:space="preserve"> Eswatini (Kingdom of)</t>
  </si>
  <si>
    <t xml:space="preserve"> Ethiopia</t>
  </si>
  <si>
    <t xml:space="preserve"> Fiji</t>
  </si>
  <si>
    <t xml:space="preserve"> Gabon</t>
  </si>
  <si>
    <t xml:space="preserve"> Gambia</t>
  </si>
  <si>
    <t xml:space="preserve"> Georgia</t>
  </si>
  <si>
    <t xml:space="preserve"> Ghana</t>
  </si>
  <si>
    <t xml:space="preserve"> Greece</t>
  </si>
  <si>
    <t xml:space="preserve"> Grenada</t>
  </si>
  <si>
    <t xml:space="preserve"> Guatemala</t>
  </si>
  <si>
    <t xml:space="preserve"> Guinea</t>
  </si>
  <si>
    <t xml:space="preserve"> Guinea-Bissau</t>
  </si>
  <si>
    <t xml:space="preserve"> Guyana</t>
  </si>
  <si>
    <t xml:space="preserve"> Haiti</t>
  </si>
  <si>
    <t xml:space="preserve"> Honduras</t>
  </si>
  <si>
    <t xml:space="preserve"> Hungary</t>
  </si>
  <si>
    <t xml:space="preserve"> India</t>
  </si>
  <si>
    <t xml:space="preserve"> Indonesia</t>
  </si>
  <si>
    <t xml:space="preserve"> Iran (Islamic Republic of)</t>
  </si>
  <si>
    <t xml:space="preserve"> Iraq</t>
  </si>
  <si>
    <t xml:space="preserve"> Italy</t>
  </si>
  <si>
    <t xml:space="preserve"> Jamaica</t>
  </si>
  <si>
    <t xml:space="preserve"> Jordan</t>
  </si>
  <si>
    <t xml:space="preserve"> Kazakhstan</t>
  </si>
  <si>
    <t xml:space="preserve"> Kenya</t>
  </si>
  <si>
    <t xml:space="preserve"> Korea (Democratic People's Rep. of)</t>
  </si>
  <si>
    <t xml:space="preserve"> Kuwait</t>
  </si>
  <si>
    <t xml:space="preserve"> Kyrgyzstan</t>
  </si>
  <si>
    <t xml:space="preserve"> Lao People's Democratic Republic</t>
  </si>
  <si>
    <t xml:space="preserve"> Latvia</t>
  </si>
  <si>
    <t xml:space="preserve"> Lebanon</t>
  </si>
  <si>
    <t xml:space="preserve"> Lesotho</t>
  </si>
  <si>
    <t xml:space="preserve"> Liberia</t>
  </si>
  <si>
    <t xml:space="preserve"> Lithuania</t>
  </si>
  <si>
    <t xml:space="preserve"> Madagascar</t>
  </si>
  <si>
    <t xml:space="preserve"> Malawi</t>
  </si>
  <si>
    <t xml:space="preserve"> Malaysia</t>
  </si>
  <si>
    <t xml:space="preserve"> Maldives</t>
  </si>
  <si>
    <t xml:space="preserve"> Mali</t>
  </si>
  <si>
    <t xml:space="preserve"> Malta</t>
  </si>
  <si>
    <t xml:space="preserve"> Marshall Islands</t>
  </si>
  <si>
    <t xml:space="preserve"> Mauritania</t>
  </si>
  <si>
    <t xml:space="preserve"> Mauritius</t>
  </si>
  <si>
    <t xml:space="preserve"> Mexico</t>
  </si>
  <si>
    <t xml:space="preserve"> Moldova (Republic of)</t>
  </si>
  <si>
    <t xml:space="preserve"> Mongolia</t>
  </si>
  <si>
    <t xml:space="preserve"> Montenegro</t>
  </si>
  <si>
    <t xml:space="preserve"> Morocco</t>
  </si>
  <si>
    <t xml:space="preserve"> Mozambique</t>
  </si>
  <si>
    <t xml:space="preserve"> Myanmar</t>
  </si>
  <si>
    <t xml:space="preserve"> Namibia</t>
  </si>
  <si>
    <t xml:space="preserve"> Nepal</t>
  </si>
  <si>
    <t xml:space="preserve"> Nicaragua</t>
  </si>
  <si>
    <t xml:space="preserve"> Niger</t>
  </si>
  <si>
    <t xml:space="preserve"> Nigeria</t>
  </si>
  <si>
    <t xml:space="preserve"> North Macedonia</t>
  </si>
  <si>
    <t xml:space="preserve"> Oman</t>
  </si>
  <si>
    <t xml:space="preserve"> Pakistan</t>
  </si>
  <si>
    <t xml:space="preserve"> Palau</t>
  </si>
  <si>
    <t xml:space="preserve"> Palestine, State of</t>
  </si>
  <si>
    <t xml:space="preserve"> Panama</t>
  </si>
  <si>
    <t xml:space="preserve"> Papua New Guinea</t>
  </si>
  <si>
    <t xml:space="preserve"> Paraguay</t>
  </si>
  <si>
    <t xml:space="preserve"> Peru</t>
  </si>
  <si>
    <t xml:space="preserve"> Philippines</t>
  </si>
  <si>
    <t xml:space="preserve"> Poland</t>
  </si>
  <si>
    <t xml:space="preserve"> Portugal</t>
  </si>
  <si>
    <t xml:space="preserve"> Qatar</t>
  </si>
  <si>
    <t xml:space="preserve"> Romania</t>
  </si>
  <si>
    <t xml:space="preserve"> Russian Federation</t>
  </si>
  <si>
    <t xml:space="preserve"> Rwanda</t>
  </si>
  <si>
    <t xml:space="preserve"> Samoa</t>
  </si>
  <si>
    <t xml:space="preserve"> San Marino</t>
  </si>
  <si>
    <t xml:space="preserve"> Sao Tome and Principe</t>
  </si>
  <si>
    <t xml:space="preserve"> Saudi Arabia</t>
  </si>
  <si>
    <t xml:space="preserve"> Senegal</t>
  </si>
  <si>
    <t xml:space="preserve"> Serbia</t>
  </si>
  <si>
    <t xml:space="preserve"> Seychelles</t>
  </si>
  <si>
    <t xml:space="preserve"> Sierra Leone</t>
  </si>
  <si>
    <t xml:space="preserve"> Singapore</t>
  </si>
  <si>
    <t xml:space="preserve"> Slovenia</t>
  </si>
  <si>
    <t xml:space="preserve"> Solomon Islands</t>
  </si>
  <si>
    <t xml:space="preserve"> South Africa</t>
  </si>
  <si>
    <t xml:space="preserve"> South Sudan</t>
  </si>
  <si>
    <t xml:space="preserve"> Spain</t>
  </si>
  <si>
    <t xml:space="preserve"> Sri Lanka</t>
  </si>
  <si>
    <t xml:space="preserve"> Sudan</t>
  </si>
  <si>
    <t xml:space="preserve"> Suriname</t>
  </si>
  <si>
    <t xml:space="preserve"> Tajikistan</t>
  </si>
  <si>
    <t xml:space="preserve"> Tanzania (United Republic of)</t>
  </si>
  <si>
    <t xml:space="preserve"> Thailand</t>
  </si>
  <si>
    <t xml:space="preserve"> Timor-Leste</t>
  </si>
  <si>
    <t xml:space="preserve"> Togo</t>
  </si>
  <si>
    <t xml:space="preserve"> Tonga</t>
  </si>
  <si>
    <t xml:space="preserve"> Trinidad and Tobago</t>
  </si>
  <si>
    <t xml:space="preserve"> Tunisia</t>
  </si>
  <si>
    <t xml:space="preserve"> Turkey</t>
  </si>
  <si>
    <t xml:space="preserve"> Turkmenistan</t>
  </si>
  <si>
    <t xml:space="preserve"> Uganda</t>
  </si>
  <si>
    <t xml:space="preserve"> Ukraine</t>
  </si>
  <si>
    <t xml:space="preserve"> United Arab Emirates</t>
  </si>
  <si>
    <t xml:space="preserve"> Uruguay</t>
  </si>
  <si>
    <t xml:space="preserve"> Uzbekistan</t>
  </si>
  <si>
    <t xml:space="preserve"> Vanuatu</t>
  </si>
  <si>
    <t xml:space="preserve"> Venezuela (Bolivarian Republic of)</t>
  </si>
  <si>
    <t xml:space="preserve"> Viet Nam</t>
  </si>
  <si>
    <t xml:space="preserve"> Zambia</t>
  </si>
  <si>
    <t xml:space="preserve"> Zimbabwe</t>
  </si>
  <si>
    <t xml:space="preserve"> Andorra</t>
  </si>
  <si>
    <t xml:space="preserve"> Australia</t>
  </si>
  <si>
    <t xml:space="preserve"> Austria</t>
  </si>
  <si>
    <t xml:space="preserve"> Belgium</t>
  </si>
  <si>
    <t xml:space="preserve"> Bahamas</t>
  </si>
  <si>
    <t xml:space="preserve"> Belize</t>
  </si>
  <si>
    <t xml:space="preserve"> Canada</t>
  </si>
  <si>
    <t xml:space="preserve"> Switzerland</t>
  </si>
  <si>
    <t xml:space="preserve"> Czechia</t>
  </si>
  <si>
    <t xml:space="preserve"> Germany</t>
  </si>
  <si>
    <t xml:space="preserve"> Djibouti</t>
  </si>
  <si>
    <t xml:space="preserve"> Dominica</t>
  </si>
  <si>
    <t xml:space="preserve"> Denmark</t>
  </si>
  <si>
    <t xml:space="preserve"> Finland</t>
  </si>
  <si>
    <t xml:space="preserve"> France</t>
  </si>
  <si>
    <t xml:space="preserve"> Micronesia (Federated States of)</t>
  </si>
  <si>
    <t xml:space="preserve"> United Kingdom</t>
  </si>
  <si>
    <t xml:space="preserve"> Hong Kong, China (SAR)</t>
  </si>
  <si>
    <t xml:space="preserve"> Ireland</t>
  </si>
  <si>
    <t xml:space="preserve"> Iceland</t>
  </si>
  <si>
    <t xml:space="preserve"> Israel</t>
  </si>
  <si>
    <t xml:space="preserve"> Japan</t>
  </si>
  <si>
    <t xml:space="preserve"> Kiribati</t>
  </si>
  <si>
    <t xml:space="preserve"> Saint Kitts and Nevis</t>
  </si>
  <si>
    <t xml:space="preserve"> Korea (Republic of)</t>
  </si>
  <si>
    <t xml:space="preserve"> Libya</t>
  </si>
  <si>
    <t xml:space="preserve"> Saint Lucia</t>
  </si>
  <si>
    <t xml:space="preserve"> Liechtenstein</t>
  </si>
  <si>
    <t xml:space="preserve"> Luxembourg</t>
  </si>
  <si>
    <t xml:space="preserve"> Netherlands</t>
  </si>
  <si>
    <t xml:space="preserve"> Norway</t>
  </si>
  <si>
    <t xml:space="preserve"> New Zealand</t>
  </si>
  <si>
    <t xml:space="preserve"> Slovakia</t>
  </si>
  <si>
    <t xml:space="preserve"> Sweden</t>
  </si>
  <si>
    <t xml:space="preserve"> Syrian Arab Republic</t>
  </si>
  <si>
    <t xml:space="preserve"> United States</t>
  </si>
  <si>
    <t xml:space="preserve"> Saint Vincent and the Grenadines</t>
  </si>
  <si>
    <t xml:space="preserve"> Yemen</t>
  </si>
  <si>
    <t>Human Development</t>
  </si>
  <si>
    <t>Very high human development</t>
  </si>
  <si>
    <t>High human development</t>
  </si>
  <si>
    <t>Medium human development</t>
  </si>
  <si>
    <t>Low human development</t>
  </si>
  <si>
    <t>Developing Countries</t>
  </si>
  <si>
    <t>Regions</t>
  </si>
  <si>
    <t>Arab States</t>
  </si>
  <si>
    <t>East Asia and the Pacific</t>
  </si>
  <si>
    <t>Europe and Central Asia</t>
  </si>
  <si>
    <t>Latin America and the Caribbean</t>
  </si>
  <si>
    <t>South Asia</t>
  </si>
  <si>
    <t>Sub-Saharan Africa</t>
  </si>
  <si>
    <t>Least Developed Countries</t>
  </si>
  <si>
    <t>Small Island Developing States</t>
  </si>
  <si>
    <t>Organization for Economic Co-operation and Development</t>
  </si>
  <si>
    <t>World</t>
  </si>
  <si>
    <t>..</t>
  </si>
  <si>
    <t xml:space="preserve"> United States of America</t>
  </si>
  <si>
    <t xml:space="preserve"> The United Kingdom</t>
  </si>
  <si>
    <t>Literacy rate, adult (% ages 15 and older)</t>
  </si>
  <si>
    <t>Life expectancy index</t>
  </si>
  <si>
    <t xml:space="preserve"> Somalia</t>
  </si>
  <si>
    <t xml:space="preserve"> Monaco</t>
  </si>
  <si>
    <t xml:space="preserve"> Nauru</t>
  </si>
  <si>
    <t xml:space="preserve"> Tuvalu</t>
  </si>
  <si>
    <t>Internet Users</t>
  </si>
  <si>
    <t>Income Index</t>
  </si>
  <si>
    <t>HDI</t>
  </si>
  <si>
    <t>Government expenditure on education (% of GDP)</t>
  </si>
  <si>
    <t>GDP per capita (2017 PPP $)</t>
  </si>
  <si>
    <t>Forest area (% of total land area)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</si>
</sst>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3" borderId="0" xfId="0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9"/>
  <sheetViews>
    <sheetView topLeftCell="I1" workbookViewId="0">
      <selection activeCell="I60" sqref="I60"/>
    </sheetView>
  </sheetViews>
  <sheetFormatPr defaultRowHeight="14.5" x14ac:dyDescent="0.35"/>
  <cols>
    <col min="1" max="1" width="34.08984375" customWidth="1"/>
    <col min="2" max="2" width="30.08984375" customWidth="1"/>
    <col min="3" max="3" width="41.7265625" customWidth="1"/>
    <col min="4" max="7" width="29.453125" customWidth="1"/>
    <col min="8" max="8" width="53.7265625" customWidth="1"/>
    <col min="9" max="9" width="54.26953125" customWidth="1"/>
    <col min="10" max="11" width="29.453125" customWidth="1"/>
  </cols>
  <sheetData>
    <row r="1" spans="1:23" x14ac:dyDescent="0.35">
      <c r="A1" t="s">
        <v>0</v>
      </c>
      <c r="C1" s="2" t="s">
        <v>474</v>
      </c>
      <c r="D1" s="2" t="s">
        <v>475</v>
      </c>
      <c r="E1" s="2" t="s">
        <v>480</v>
      </c>
      <c r="F1" s="2" t="s">
        <v>481</v>
      </c>
      <c r="G1" s="2" t="s">
        <v>482</v>
      </c>
      <c r="H1" s="2" t="s">
        <v>483</v>
      </c>
      <c r="I1" s="1" t="s">
        <v>484</v>
      </c>
      <c r="J1" s="2" t="s">
        <v>485</v>
      </c>
      <c r="L1" t="s">
        <v>1</v>
      </c>
      <c r="M1" t="s">
        <v>2</v>
      </c>
      <c r="N1" t="s">
        <v>3</v>
      </c>
      <c r="O1" t="s">
        <v>4</v>
      </c>
      <c r="P1" t="s">
        <v>5</v>
      </c>
      <c r="Q1" t="s">
        <v>6</v>
      </c>
      <c r="R1" t="s">
        <v>7</v>
      </c>
      <c r="S1" t="s">
        <v>8</v>
      </c>
      <c r="T1" t="s">
        <v>9</v>
      </c>
      <c r="U1" t="s">
        <v>10</v>
      </c>
      <c r="V1" t="s">
        <v>11</v>
      </c>
      <c r="W1" t="s">
        <v>12</v>
      </c>
    </row>
    <row r="2" spans="1:23" x14ac:dyDescent="0.35">
      <c r="A2" t="s">
        <v>13</v>
      </c>
      <c r="M2">
        <v>182319261</v>
      </c>
      <c r="N2">
        <v>2339.063659982</v>
      </c>
      <c r="O2">
        <v>2651010</v>
      </c>
      <c r="P2">
        <v>34.011113906658998</v>
      </c>
      <c r="Q2">
        <v>398180</v>
      </c>
      <c r="R2">
        <v>3954324</v>
      </c>
      <c r="S2">
        <v>50.731971583598501</v>
      </c>
      <c r="T2">
        <v>54427</v>
      </c>
      <c r="U2">
        <v>0.69827080870978697</v>
      </c>
      <c r="V2">
        <v>8569</v>
      </c>
    </row>
    <row r="3" spans="1:23" x14ac:dyDescent="0.35">
      <c r="A3" t="s">
        <v>14</v>
      </c>
      <c r="B3" t="str">
        <f>TRIM(A3)</f>
        <v>United States of America</v>
      </c>
      <c r="C3" t="s">
        <v>471</v>
      </c>
      <c r="D3">
        <v>0.90600000000000003</v>
      </c>
      <c r="E3">
        <f>VLOOKUP(A3,'Internet users, total (% of pop'!B1:C212,2,0)</f>
        <v>87.3</v>
      </c>
      <c r="F3">
        <f>VLOOKUP(B3,'Income Index'!B1:C208,2,0)</f>
        <v>0.97599999999999998</v>
      </c>
      <c r="G3">
        <f>VLOOKUP(A3,'Human Development Index (HDI)	'!B1:C206,2,0)</f>
        <v>0.92600000000000005</v>
      </c>
      <c r="H3">
        <f>VLOOKUP(B3,'Government expenditure on educa'!B1:C209,2,0)</f>
        <v>5</v>
      </c>
      <c r="I3">
        <f>VLOOKUP(B3,'GDP per capita (2017 PPP $)'!B1:C209,2,0)</f>
        <v>62683</v>
      </c>
      <c r="J3">
        <f>VLOOKUP(B3,'Forest area (% of total land ar'!B1:C211,2,0)</f>
        <v>33.9</v>
      </c>
      <c r="L3" t="s">
        <v>15</v>
      </c>
      <c r="M3">
        <v>33343961</v>
      </c>
      <c r="N3">
        <v>10073.620000000001</v>
      </c>
      <c r="O3">
        <v>86193</v>
      </c>
      <c r="P3">
        <v>26.04</v>
      </c>
      <c r="Q3">
        <v>10959</v>
      </c>
      <c r="R3">
        <v>599680</v>
      </c>
      <c r="S3">
        <v>181.17</v>
      </c>
      <c r="T3">
        <v>1953</v>
      </c>
      <c r="U3">
        <v>0.59</v>
      </c>
      <c r="V3">
        <v>268</v>
      </c>
      <c r="W3" t="s">
        <v>16</v>
      </c>
    </row>
    <row r="4" spans="1:23" x14ac:dyDescent="0.35">
      <c r="A4" t="s">
        <v>17</v>
      </c>
      <c r="B4" t="str">
        <f t="shared" ref="B4:B67" si="0">TRIM(A4)</f>
        <v>India</v>
      </c>
      <c r="C4">
        <f>VLOOKUP(B4,'Literacy Rate'!B2:C209,2,0)</f>
        <v>74.400000000000006</v>
      </c>
      <c r="D4">
        <f>VLOOKUP(B4,'Life expectancy index'!B2:C209,2,0)</f>
        <v>0.76400000000000001</v>
      </c>
      <c r="E4">
        <f>VLOOKUP(A4,'Internet users, total (% of pop'!B2:C213,2,0)</f>
        <v>34.5</v>
      </c>
      <c r="F4">
        <f>VLOOKUP(B4,'Income Index'!B2:C209,2,0)</f>
        <v>0.63500000000000001</v>
      </c>
      <c r="G4">
        <f>VLOOKUP(A4,'Human Development Index (HDI)	'!B2:C207,2,0)</f>
        <v>0.64500000000000002</v>
      </c>
      <c r="H4">
        <f>VLOOKUP(B4,'Government expenditure on educa'!B2:C210,2,0)</f>
        <v>3.8</v>
      </c>
      <c r="I4">
        <f>VLOOKUP(B4,'GDP per capita (2017 PPP $)'!B2:C210,2,0)</f>
        <v>6754</v>
      </c>
      <c r="J4">
        <f>VLOOKUP(B4,'Forest area (% of total land ar'!B2:C212,2,0)</f>
        <v>23.8</v>
      </c>
      <c r="L4" t="s">
        <v>18</v>
      </c>
      <c r="M4">
        <v>30458251</v>
      </c>
      <c r="N4">
        <v>2207.11</v>
      </c>
      <c r="O4">
        <v>323806</v>
      </c>
      <c r="P4">
        <v>23.46</v>
      </c>
      <c r="Q4">
        <v>46617</v>
      </c>
      <c r="R4">
        <v>400312</v>
      </c>
      <c r="S4">
        <v>29.01</v>
      </c>
      <c r="T4">
        <v>7002</v>
      </c>
      <c r="U4">
        <v>0.51</v>
      </c>
      <c r="V4">
        <v>853</v>
      </c>
      <c r="W4" t="s">
        <v>19</v>
      </c>
    </row>
    <row r="5" spans="1:23" x14ac:dyDescent="0.35">
      <c r="A5" t="s">
        <v>20</v>
      </c>
      <c r="B5" t="str">
        <f t="shared" si="0"/>
        <v>Brazil</v>
      </c>
      <c r="C5">
        <f>VLOOKUP(B5,'Literacy Rate'!B3:C210,2,0)</f>
        <v>93.2</v>
      </c>
      <c r="D5">
        <f>VLOOKUP(B5,'Life expectancy index'!B3:C210,2,0)</f>
        <v>0.86</v>
      </c>
      <c r="E5">
        <f>VLOOKUP(A5,'Internet users, total (% of pop'!B3:C214,2,0)</f>
        <v>67.5</v>
      </c>
      <c r="F5">
        <f>VLOOKUP(B5,'Income Index'!B3:C210,2,0)</f>
        <v>0.749</v>
      </c>
      <c r="G5">
        <f>VLOOKUP(A5,'Human Development Index (HDI)	'!B3:C208,2,0)</f>
        <v>0.76500000000000001</v>
      </c>
      <c r="H5">
        <f>VLOOKUP(B5,'Government expenditure on educa'!B3:C211,2,0)</f>
        <v>6.2</v>
      </c>
      <c r="I5">
        <f>VLOOKUP(B5,'GDP per capita (2017 PPP $)'!B3:C211,2,0)</f>
        <v>14652</v>
      </c>
      <c r="J5">
        <f>VLOOKUP(B5,'Forest area (% of total land ar'!B3:C213,2,0)</f>
        <v>58.9</v>
      </c>
      <c r="L5" t="s">
        <v>15</v>
      </c>
      <c r="M5">
        <v>18557141</v>
      </c>
      <c r="N5">
        <v>8730.33</v>
      </c>
      <c r="O5">
        <v>387260</v>
      </c>
      <c r="P5">
        <v>182.19</v>
      </c>
      <c r="Q5">
        <v>43836</v>
      </c>
      <c r="R5">
        <v>518066</v>
      </c>
      <c r="S5">
        <v>243.73</v>
      </c>
      <c r="T5">
        <v>10957</v>
      </c>
      <c r="U5">
        <v>5.15</v>
      </c>
      <c r="V5">
        <v>2081</v>
      </c>
      <c r="W5" t="s">
        <v>16</v>
      </c>
    </row>
    <row r="6" spans="1:23" x14ac:dyDescent="0.35">
      <c r="A6" t="s">
        <v>21</v>
      </c>
      <c r="B6" t="str">
        <f t="shared" si="0"/>
        <v>France</v>
      </c>
      <c r="C6" t="str">
        <f>VLOOKUP(B6,'Literacy Rate'!B4:C211,2,0)</f>
        <v>..</v>
      </c>
      <c r="D6">
        <f>VLOOKUP(B6,'Life expectancy index'!B4:C211,2,0)</f>
        <v>0.96399999999999997</v>
      </c>
      <c r="E6">
        <f>VLOOKUP(A6,'Internet users, total (% of pop'!B4:C215,2,0)</f>
        <v>82</v>
      </c>
      <c r="F6">
        <f>VLOOKUP(B6,'Income Index'!B4:C211,2,0)</f>
        <v>0.93</v>
      </c>
      <c r="G6">
        <f>VLOOKUP(A6,'Human Development Index (HDI)	'!B4:C209,2,0)</f>
        <v>0.90100000000000002</v>
      </c>
      <c r="H6" t="str">
        <f>VLOOKUP(B6,'Government expenditure on educa'!B4:C212,2,0)</f>
        <v>..</v>
      </c>
      <c r="I6">
        <f>VLOOKUP(B6,'GDP per capita (2017 PPP $)'!B4:C212,2,0)</f>
        <v>46184</v>
      </c>
      <c r="J6">
        <f>VLOOKUP(B6,'Forest area (% of total land ar'!B4:C214,2,0)</f>
        <v>31.2</v>
      </c>
      <c r="L6" t="s">
        <v>22</v>
      </c>
      <c r="M6">
        <v>5667081</v>
      </c>
      <c r="N6">
        <v>8713.31</v>
      </c>
      <c r="O6">
        <v>11705</v>
      </c>
      <c r="P6">
        <v>18</v>
      </c>
      <c r="Q6">
        <v>2572</v>
      </c>
      <c r="R6">
        <v>110190</v>
      </c>
      <c r="S6">
        <v>169.42</v>
      </c>
      <c r="T6">
        <v>188</v>
      </c>
      <c r="U6">
        <v>0.28999999999999998</v>
      </c>
      <c r="V6">
        <v>28</v>
      </c>
      <c r="W6" t="s">
        <v>16</v>
      </c>
    </row>
    <row r="7" spans="1:23" x14ac:dyDescent="0.35">
      <c r="A7" t="s">
        <v>23</v>
      </c>
      <c r="B7" t="str">
        <f t="shared" si="0"/>
        <v>Russian Federation</v>
      </c>
      <c r="C7">
        <f>VLOOKUP(B7,'Literacy Rate'!B5:C212,2,0)</f>
        <v>99.7</v>
      </c>
      <c r="D7">
        <f>VLOOKUP(B7,'Life expectancy index'!B5:C212,2,0)</f>
        <v>0.80900000000000005</v>
      </c>
      <c r="E7">
        <f>VLOOKUP(A7,'Internet users, total (% of pop'!B5:C216,2,0)</f>
        <v>80.900000000000006</v>
      </c>
      <c r="F7">
        <f>VLOOKUP(B7,'Income Index'!B5:C212,2,0)</f>
        <v>0.84099999999999997</v>
      </c>
      <c r="G7">
        <f>VLOOKUP(A7,'Human Development Index (HDI)	'!B5:C210,2,0)</f>
        <v>0.82399999999999995</v>
      </c>
      <c r="H7">
        <f>VLOOKUP(B7,'Government expenditure on educa'!B5:C213,2,0)</f>
        <v>3.7</v>
      </c>
      <c r="I7">
        <f>VLOOKUP(B7,'GDP per capita (2017 PPP $)'!B5:C213,2,0)</f>
        <v>27044</v>
      </c>
      <c r="J7">
        <f>VLOOKUP(B7,'Forest area (% of total land ar'!B5:C215,2,0)</f>
        <v>49.8</v>
      </c>
      <c r="L7" t="s">
        <v>22</v>
      </c>
      <c r="M7">
        <v>5561360</v>
      </c>
      <c r="N7">
        <v>3810.86</v>
      </c>
      <c r="O7">
        <v>152272</v>
      </c>
      <c r="P7">
        <v>104.34</v>
      </c>
      <c r="Q7">
        <v>23218</v>
      </c>
      <c r="R7">
        <v>136565</v>
      </c>
      <c r="S7">
        <v>93.58</v>
      </c>
      <c r="T7">
        <v>4501</v>
      </c>
      <c r="U7">
        <v>3.08</v>
      </c>
      <c r="V7">
        <v>679</v>
      </c>
      <c r="W7" t="s">
        <v>19</v>
      </c>
    </row>
    <row r="8" spans="1:23" x14ac:dyDescent="0.35">
      <c r="A8" t="s">
        <v>24</v>
      </c>
      <c r="B8" t="str">
        <f t="shared" si="0"/>
        <v>Turkey</v>
      </c>
      <c r="C8">
        <f>VLOOKUP(B8,'Literacy Rate'!B6:C213,2,0)</f>
        <v>96.2</v>
      </c>
      <c r="D8">
        <f>VLOOKUP(B8,'Life expectancy index'!B6:C213,2,0)</f>
        <v>0.88800000000000001</v>
      </c>
      <c r="E8">
        <f>VLOOKUP(A8,'Internet users, total (% of pop'!B6:C217,2,0)</f>
        <v>71</v>
      </c>
      <c r="F8">
        <f>VLOOKUP(B8,'Income Index'!B6:C213,2,0)</f>
        <v>0.85</v>
      </c>
      <c r="G8">
        <f>VLOOKUP(A8,'Human Development Index (HDI)	'!B6:C211,2,0)</f>
        <v>0.82</v>
      </c>
      <c r="H8" t="str">
        <f>VLOOKUP(B8,'Government expenditure on educa'!B6:C214,2,0)</f>
        <v>..</v>
      </c>
      <c r="I8">
        <f>VLOOKUP(B8,'GDP per capita (2017 PPP $)'!B6:C214,2,0)</f>
        <v>28167</v>
      </c>
      <c r="J8">
        <f>VLOOKUP(B8,'Forest area (% of total land ar'!B6:C216,2,0)</f>
        <v>15.4</v>
      </c>
      <c r="L8" t="s">
        <v>22</v>
      </c>
      <c r="M8">
        <v>5430940</v>
      </c>
      <c r="N8">
        <v>6439.41</v>
      </c>
      <c r="O8">
        <v>37692</v>
      </c>
      <c r="P8">
        <v>44.69</v>
      </c>
      <c r="Q8">
        <v>5288</v>
      </c>
      <c r="R8">
        <v>49774</v>
      </c>
      <c r="S8">
        <v>59.02</v>
      </c>
      <c r="T8">
        <v>357</v>
      </c>
      <c r="U8">
        <v>0.42</v>
      </c>
      <c r="V8">
        <v>42</v>
      </c>
      <c r="W8" t="s">
        <v>16</v>
      </c>
    </row>
    <row r="9" spans="1:23" x14ac:dyDescent="0.35">
      <c r="A9" t="s">
        <v>25</v>
      </c>
      <c r="B9" t="str">
        <f t="shared" si="0"/>
        <v>The United Kingdom</v>
      </c>
      <c r="C9" t="str">
        <f>VLOOKUP(B9,'Literacy Rate'!B7:C214,2,0)</f>
        <v>..</v>
      </c>
      <c r="D9">
        <v>0.94299999999999995</v>
      </c>
      <c r="E9">
        <f>VLOOKUP(A9,'Internet users, total (% of pop'!B7:C218,2,0)</f>
        <v>94.9</v>
      </c>
      <c r="F9">
        <f>VLOOKUP(B9,'Income Index'!B7:C214,2,0)</f>
        <v>0.92600000000000005</v>
      </c>
      <c r="G9">
        <f>VLOOKUP(A9,'Human Development Index (HDI)	'!B7:C212,2,0)</f>
        <v>0.93200000000000005</v>
      </c>
      <c r="H9">
        <f>VLOOKUP(B9,'Government expenditure on educa'!B7:C215,2,0)</f>
        <v>5.5</v>
      </c>
      <c r="I9">
        <f>VLOOKUP(B9,'GDP per capita (2017 PPP $)'!B7:C215,2,0)</f>
        <v>46699</v>
      </c>
      <c r="J9">
        <f>VLOOKUP(B9,'Forest area (% of total land ar'!B7:C217,2,0)</f>
        <v>13.1</v>
      </c>
      <c r="L9" t="s">
        <v>22</v>
      </c>
      <c r="M9">
        <v>4828467</v>
      </c>
      <c r="N9">
        <v>7112.61</v>
      </c>
      <c r="O9">
        <v>143891</v>
      </c>
      <c r="P9">
        <v>211.96</v>
      </c>
      <c r="Q9">
        <v>27556</v>
      </c>
      <c r="R9">
        <v>128162</v>
      </c>
      <c r="S9">
        <v>188.79</v>
      </c>
      <c r="T9">
        <v>114</v>
      </c>
      <c r="U9">
        <v>0.17</v>
      </c>
      <c r="V9">
        <v>22</v>
      </c>
      <c r="W9" t="s">
        <v>16</v>
      </c>
    </row>
    <row r="10" spans="1:23" x14ac:dyDescent="0.35">
      <c r="A10" t="s">
        <v>26</v>
      </c>
      <c r="B10" t="str">
        <f t="shared" si="0"/>
        <v>Argentina</v>
      </c>
      <c r="C10">
        <v>99</v>
      </c>
      <c r="D10">
        <v>0.872</v>
      </c>
      <c r="E10">
        <v>74.3</v>
      </c>
      <c r="F10">
        <v>0.80900000000000005</v>
      </c>
      <c r="G10">
        <v>0.84499999999999997</v>
      </c>
      <c r="H10">
        <v>5.5</v>
      </c>
      <c r="I10">
        <v>22034</v>
      </c>
      <c r="J10">
        <v>9.8000000000000007</v>
      </c>
      <c r="L10" t="s">
        <v>15</v>
      </c>
      <c r="M10">
        <v>4470374</v>
      </c>
      <c r="N10">
        <v>9891.1299999999992</v>
      </c>
      <c r="O10">
        <v>144273</v>
      </c>
      <c r="P10">
        <v>319.22000000000003</v>
      </c>
      <c r="Q10">
        <v>22673</v>
      </c>
      <c r="R10">
        <v>94304</v>
      </c>
      <c r="S10">
        <v>208.66</v>
      </c>
      <c r="T10">
        <v>3318</v>
      </c>
      <c r="U10">
        <v>7.34</v>
      </c>
      <c r="V10">
        <v>636</v>
      </c>
      <c r="W10" t="s">
        <v>16</v>
      </c>
    </row>
    <row r="11" spans="1:23" x14ac:dyDescent="0.35">
      <c r="A11" t="s">
        <v>27</v>
      </c>
      <c r="B11" t="str">
        <f t="shared" si="0"/>
        <v>Italy</v>
      </c>
      <c r="C11">
        <f>VLOOKUP(B11,'Literacy Rate'!B9:C216,2,0)</f>
        <v>99.2</v>
      </c>
      <c r="D11">
        <f>VLOOKUP(B11,'Life expectancy index'!B9:C216,2,0)</f>
        <v>0.97699999999999998</v>
      </c>
      <c r="E11">
        <f>VLOOKUP(A11,'Internet users, total (% of pop'!B9:C220,2,0)</f>
        <v>74.400000000000006</v>
      </c>
      <c r="F11">
        <f>VLOOKUP(B11,'Income Index'!B9:C216,2,0)</f>
        <v>0.91500000000000004</v>
      </c>
      <c r="G11">
        <f>VLOOKUP(A11,'Human Development Index (HDI)	'!B9:C214,2,0)</f>
        <v>0.89200000000000002</v>
      </c>
      <c r="H11">
        <f>VLOOKUP(B11,'Government expenditure on educa'!B9:C217,2,0)</f>
        <v>3.8</v>
      </c>
      <c r="I11">
        <f>VLOOKUP(B11,'GDP per capita (2017 PPP $)'!B9:C217,2,0)</f>
        <v>42413</v>
      </c>
      <c r="J11">
        <f>VLOOKUP(B11,'Forest area (% of total land ar'!B9:C219,2,0)</f>
        <v>31.8</v>
      </c>
      <c r="L11" t="s">
        <v>22</v>
      </c>
      <c r="M11">
        <v>4260788</v>
      </c>
      <c r="N11">
        <v>7144</v>
      </c>
      <c r="O11">
        <v>5088</v>
      </c>
      <c r="P11">
        <v>8.5299999999999994</v>
      </c>
      <c r="Q11">
        <v>879</v>
      </c>
      <c r="R11">
        <v>127587</v>
      </c>
      <c r="S11">
        <v>213.92</v>
      </c>
      <c r="T11">
        <v>225</v>
      </c>
      <c r="U11">
        <v>0.38</v>
      </c>
      <c r="V11">
        <v>21</v>
      </c>
      <c r="W11" t="s">
        <v>19</v>
      </c>
    </row>
    <row r="12" spans="1:23" x14ac:dyDescent="0.35">
      <c r="A12" t="s">
        <v>28</v>
      </c>
      <c r="B12" t="str">
        <f t="shared" si="0"/>
        <v>Colombia</v>
      </c>
      <c r="C12">
        <f>VLOOKUP(B12,'Literacy Rate'!B10:C217,2,0)</f>
        <v>95.1</v>
      </c>
      <c r="D12">
        <f>VLOOKUP(B12,'Life expectancy index'!B10:C217,2,0)</f>
        <v>0.88100000000000001</v>
      </c>
      <c r="E12">
        <f>VLOOKUP(A12,'Internet users, total (% of pop'!B10:C221,2,0)</f>
        <v>62.3</v>
      </c>
      <c r="F12">
        <f>VLOOKUP(B12,'Income Index'!B10:C217,2,0)</f>
        <v>0.749</v>
      </c>
      <c r="G12">
        <f>VLOOKUP(A12,'Human Development Index (HDI)	'!B10:C215,2,0)</f>
        <v>0.76700000000000002</v>
      </c>
      <c r="H12">
        <f>VLOOKUP(B12,'Government expenditure on educa'!B10:C218,2,0)</f>
        <v>4.5</v>
      </c>
      <c r="I12">
        <f>VLOOKUP(B12,'GDP per capita (2017 PPP $)'!B10:C218,2,0)</f>
        <v>14731</v>
      </c>
      <c r="J12">
        <f>VLOOKUP(B12,'Forest area (% of total land ar'!B10:C220,2,0)</f>
        <v>52.7</v>
      </c>
      <c r="L12" t="s">
        <v>15</v>
      </c>
      <c r="M12">
        <v>4240982</v>
      </c>
      <c r="N12">
        <v>8334.7900000000009</v>
      </c>
      <c r="O12">
        <v>213966</v>
      </c>
      <c r="P12">
        <v>420.51</v>
      </c>
      <c r="Q12">
        <v>27908</v>
      </c>
      <c r="R12">
        <v>106544</v>
      </c>
      <c r="S12">
        <v>209.39</v>
      </c>
      <c r="T12">
        <v>4597</v>
      </c>
      <c r="U12">
        <v>9.0299999999999994</v>
      </c>
      <c r="V12">
        <v>610</v>
      </c>
      <c r="W12" t="s">
        <v>16</v>
      </c>
    </row>
    <row r="13" spans="1:23" x14ac:dyDescent="0.35">
      <c r="A13" t="s">
        <v>29</v>
      </c>
      <c r="B13" t="str">
        <f t="shared" si="0"/>
        <v>Spain</v>
      </c>
      <c r="C13">
        <f>VLOOKUP(B13,'Literacy Rate'!B11:C218,2,0)</f>
        <v>98.4</v>
      </c>
      <c r="D13">
        <f>VLOOKUP(B13,'Life expectancy index'!B11:C218,2,0)</f>
        <v>0.97799999999999998</v>
      </c>
      <c r="E13">
        <f>VLOOKUP(A13,'Internet users, total (% of pop'!B11:C222,2,0)</f>
        <v>86.1</v>
      </c>
      <c r="F13">
        <f>VLOOKUP(B13,'Income Index'!B11:C218,2,0)</f>
        <v>0.90900000000000003</v>
      </c>
      <c r="G13">
        <f>VLOOKUP(A13,'Human Development Index (HDI)	'!B11:C216,2,0)</f>
        <v>0.90400000000000003</v>
      </c>
      <c r="H13">
        <f>VLOOKUP(B13,'Government expenditure on educa'!B11:C219,2,0)</f>
        <v>4.2</v>
      </c>
      <c r="I13">
        <f>VLOOKUP(B13,'GDP per capita (2017 PPP $)'!B11:C219,2,0)</f>
        <v>40883</v>
      </c>
      <c r="J13">
        <f>VLOOKUP(B13,'Forest area (% of total land ar'!B11:C221,2,0)</f>
        <v>36.9</v>
      </c>
      <c r="L13" t="s">
        <v>22</v>
      </c>
      <c r="M13">
        <v>3821305</v>
      </c>
      <c r="N13">
        <v>8073.3</v>
      </c>
      <c r="O13">
        <v>39074</v>
      </c>
      <c r="P13">
        <v>82.55</v>
      </c>
      <c r="Q13">
        <v>6378</v>
      </c>
      <c r="R13">
        <v>80883</v>
      </c>
      <c r="S13">
        <v>170.88</v>
      </c>
      <c r="T13">
        <v>53</v>
      </c>
      <c r="U13">
        <v>0.11</v>
      </c>
      <c r="V13">
        <v>0</v>
      </c>
      <c r="W13" t="s">
        <v>16</v>
      </c>
    </row>
    <row r="14" spans="1:23" x14ac:dyDescent="0.35">
      <c r="A14" t="s">
        <v>30</v>
      </c>
      <c r="B14" t="str">
        <f t="shared" si="0"/>
        <v>Germany</v>
      </c>
      <c r="C14" t="str">
        <f>VLOOKUP(B14,'Literacy Rate'!B12:C219,2,0)</f>
        <v>..</v>
      </c>
      <c r="D14">
        <f>VLOOKUP(B14,'Life expectancy index'!B12:C219,2,0)</f>
        <v>0.94399999999999995</v>
      </c>
      <c r="E14">
        <f>VLOOKUP(A14,'Internet users, total (% of pop'!B12:C223,2,0)</f>
        <v>89.7</v>
      </c>
      <c r="F14">
        <f>VLOOKUP(B14,'Income Index'!B12:C219,2,0)</f>
        <v>0.95399999999999996</v>
      </c>
      <c r="G14">
        <f>VLOOKUP(A14,'Human Development Index (HDI)	'!B12:C217,2,0)</f>
        <v>0.94699999999999995</v>
      </c>
      <c r="H14">
        <f>VLOOKUP(B14,'Government expenditure on educa'!B12:C220,2,0)</f>
        <v>4.8</v>
      </c>
      <c r="I14">
        <f>VLOOKUP(B14,'GDP per capita (2017 PPP $)'!B12:C220,2,0)</f>
        <v>53815</v>
      </c>
      <c r="J14">
        <f>VLOOKUP(B14,'Forest area (% of total land ar'!B12:C222,2,0)</f>
        <v>32.700000000000003</v>
      </c>
      <c r="L14" t="s">
        <v>22</v>
      </c>
      <c r="M14">
        <v>3729682</v>
      </c>
      <c r="N14">
        <v>4484.59</v>
      </c>
      <c r="O14">
        <v>4102</v>
      </c>
      <c r="P14">
        <v>4.93</v>
      </c>
      <c r="Q14">
        <v>649</v>
      </c>
      <c r="R14">
        <v>91007</v>
      </c>
      <c r="S14">
        <v>109.43</v>
      </c>
      <c r="T14">
        <v>329</v>
      </c>
      <c r="U14">
        <v>0.4</v>
      </c>
      <c r="V14">
        <v>69</v>
      </c>
      <c r="W14" t="s">
        <v>16</v>
      </c>
    </row>
    <row r="15" spans="1:23" x14ac:dyDescent="0.35">
      <c r="A15" t="s">
        <v>31</v>
      </c>
      <c r="B15" t="str">
        <f t="shared" si="0"/>
        <v>Iran (Islamic Republic of)</v>
      </c>
      <c r="C15">
        <f>VLOOKUP(B15,'Literacy Rate'!B13:C220,2,0)</f>
        <v>85.5</v>
      </c>
      <c r="D15">
        <f>VLOOKUP(B15,'Life expectancy index'!B13:C220,2,0)</f>
        <v>0.872</v>
      </c>
      <c r="E15">
        <f>VLOOKUP(A15,'Internet users, total (% of pop'!B13:C224,2,0)</f>
        <v>70</v>
      </c>
      <c r="F15">
        <f>VLOOKUP(B15,'Income Index'!B13:C220,2,0)</f>
        <v>0.72899999999999998</v>
      </c>
      <c r="G15">
        <f>VLOOKUP(A15,'Human Development Index (HDI)	'!B13:C218,2,0)</f>
        <v>0.78300000000000003</v>
      </c>
      <c r="H15">
        <f>VLOOKUP(B15,'Government expenditure on educa'!B13:C221,2,0)</f>
        <v>4</v>
      </c>
      <c r="I15">
        <f>VLOOKUP(B15,'GDP per capita (2017 PPP $)'!B13:C221,2,0)</f>
        <v>14536</v>
      </c>
      <c r="J15">
        <f>VLOOKUP(B15,'Forest area (% of total land ar'!B13:C223,2,0)</f>
        <v>6.6</v>
      </c>
      <c r="L15" t="s">
        <v>32</v>
      </c>
      <c r="M15">
        <v>3204557</v>
      </c>
      <c r="N15">
        <v>3815.27</v>
      </c>
      <c r="O15">
        <v>76162</v>
      </c>
      <c r="P15">
        <v>90.68</v>
      </c>
      <c r="Q15">
        <v>11748</v>
      </c>
      <c r="R15">
        <v>84264</v>
      </c>
      <c r="S15">
        <v>100.32</v>
      </c>
      <c r="T15">
        <v>935</v>
      </c>
      <c r="U15">
        <v>1.1100000000000001</v>
      </c>
      <c r="V15">
        <v>137</v>
      </c>
      <c r="W15" t="s">
        <v>16</v>
      </c>
    </row>
    <row r="16" spans="1:23" x14ac:dyDescent="0.35">
      <c r="A16" t="s">
        <v>33</v>
      </c>
      <c r="B16" t="str">
        <f t="shared" si="0"/>
        <v>Poland</v>
      </c>
      <c r="C16">
        <f>VLOOKUP(B16,'Literacy Rate'!B14:C221,2,0)</f>
        <v>98.7</v>
      </c>
      <c r="D16">
        <f>VLOOKUP(B16,'Life expectancy index'!B14:C221,2,0)</f>
        <v>0.90400000000000003</v>
      </c>
      <c r="E16">
        <f>VLOOKUP(A16,'Internet users, total (% of pop'!B14:C225,2,0)</f>
        <v>77.5</v>
      </c>
      <c r="F16">
        <f>VLOOKUP(B16,'Income Index'!B14:C221,2,0)</f>
        <v>0.87</v>
      </c>
      <c r="G16">
        <f>VLOOKUP(A16,'Human Development Index (HDI)	'!B14:C219,2,0)</f>
        <v>0.88</v>
      </c>
      <c r="H16">
        <f>VLOOKUP(B16,'Government expenditure on educa'!B14:C222,2,0)</f>
        <v>4.5999999999999996</v>
      </c>
      <c r="I16">
        <f>VLOOKUP(B16,'GDP per capita (2017 PPP $)'!B14:C222,2,0)</f>
        <v>33086</v>
      </c>
      <c r="J16">
        <f>VLOOKUP(B16,'Forest area (% of total land ar'!B14:C224,2,0)</f>
        <v>30.9</v>
      </c>
      <c r="L16" t="s">
        <v>22</v>
      </c>
      <c r="M16">
        <v>2880107</v>
      </c>
      <c r="N16">
        <v>7587.59</v>
      </c>
      <c r="O16">
        <v>637</v>
      </c>
      <c r="P16">
        <v>1.68</v>
      </c>
      <c r="Q16">
        <v>97</v>
      </c>
      <c r="R16">
        <v>75065</v>
      </c>
      <c r="S16">
        <v>197.76</v>
      </c>
      <c r="T16">
        <v>112</v>
      </c>
      <c r="U16">
        <v>0.3</v>
      </c>
      <c r="V16">
        <v>21</v>
      </c>
      <c r="W16" t="s">
        <v>16</v>
      </c>
    </row>
    <row r="17" spans="1:23" x14ac:dyDescent="0.35">
      <c r="A17" t="s">
        <v>34</v>
      </c>
      <c r="B17" t="str">
        <f t="shared" si="0"/>
        <v>Mexico</v>
      </c>
      <c r="C17">
        <f>VLOOKUP(B17,'Literacy Rate'!B15:C222,2,0)</f>
        <v>95.4</v>
      </c>
      <c r="D17">
        <f>VLOOKUP(B17,'Life expectancy index'!B15:C222,2,0)</f>
        <v>0.84699999999999998</v>
      </c>
      <c r="E17">
        <f>VLOOKUP(A17,'Internet users, total (% of pop'!B15:C226,2,0)</f>
        <v>65.8</v>
      </c>
      <c r="F17">
        <f>VLOOKUP(B17,'Income Index'!B15:C222,2,0)</f>
        <v>0.79400000000000004</v>
      </c>
      <c r="G17">
        <f>VLOOKUP(A17,'Human Development Index (HDI)	'!B15:C220,2,0)</f>
        <v>0.77900000000000003</v>
      </c>
      <c r="H17">
        <f>VLOOKUP(B17,'Government expenditure on educa'!B15:C223,2,0)</f>
        <v>4.9000000000000004</v>
      </c>
      <c r="I17">
        <f>VLOOKUP(B17,'GDP per capita (2017 PPP $)'!B15:C223,2,0)</f>
        <v>19746</v>
      </c>
      <c r="J17">
        <f>VLOOKUP(B17,'Forest area (% of total land ar'!B15:C225,2,0)</f>
        <v>33.9</v>
      </c>
      <c r="L17" t="s">
        <v>15</v>
      </c>
      <c r="M17">
        <v>2519269</v>
      </c>
      <c r="N17">
        <v>1953.94</v>
      </c>
      <c r="O17">
        <v>31522</v>
      </c>
      <c r="P17">
        <v>24.45</v>
      </c>
      <c r="Q17">
        <v>6105</v>
      </c>
      <c r="R17">
        <v>233047</v>
      </c>
      <c r="S17">
        <v>180.75</v>
      </c>
      <c r="T17">
        <v>1200</v>
      </c>
      <c r="U17">
        <v>0.93</v>
      </c>
      <c r="V17">
        <v>244</v>
      </c>
      <c r="W17" t="s">
        <v>16</v>
      </c>
    </row>
    <row r="18" spans="1:23" x14ac:dyDescent="0.35">
      <c r="A18" t="s">
        <v>35</v>
      </c>
      <c r="B18" t="str">
        <f t="shared" si="0"/>
        <v>Ukraine</v>
      </c>
      <c r="C18">
        <f>VLOOKUP(B18,'Literacy Rate'!B16:C223,2,0)</f>
        <v>100</v>
      </c>
      <c r="D18">
        <f>VLOOKUP(B18,'Life expectancy index'!B16:C223,2,0)</f>
        <v>0.80100000000000005</v>
      </c>
      <c r="E18">
        <f>VLOOKUP(A18,'Internet users, total (% of pop'!B16:C227,2,0)</f>
        <v>58.9</v>
      </c>
      <c r="F18">
        <f>VLOOKUP(B18,'Income Index'!B16:C223,2,0)</f>
        <v>0.73799999999999999</v>
      </c>
      <c r="G18">
        <f>VLOOKUP(A18,'Human Development Index (HDI)	'!B16:C221,2,0)</f>
        <v>0.77900000000000003</v>
      </c>
      <c r="H18">
        <f>VLOOKUP(B18,'Government expenditure on educa'!B16:C224,2,0)</f>
        <v>5.4</v>
      </c>
      <c r="I18">
        <f>VLOOKUP(B18,'GDP per capita (2017 PPP $)'!B16:C224,2,0)</f>
        <v>12810</v>
      </c>
      <c r="J18">
        <f>VLOOKUP(B18,'Forest area (% of total land ar'!B16:C226,2,0)</f>
        <v>16.7</v>
      </c>
      <c r="L18" t="s">
        <v>22</v>
      </c>
      <c r="M18">
        <v>2236497</v>
      </c>
      <c r="N18">
        <v>5113.8900000000003</v>
      </c>
      <c r="O18">
        <v>3707</v>
      </c>
      <c r="P18">
        <v>8.48</v>
      </c>
      <c r="Q18">
        <v>696</v>
      </c>
      <c r="R18">
        <v>52424</v>
      </c>
      <c r="S18">
        <v>119.87</v>
      </c>
      <c r="T18">
        <v>190</v>
      </c>
      <c r="U18">
        <v>0.43</v>
      </c>
      <c r="V18">
        <v>33</v>
      </c>
      <c r="W18" t="s">
        <v>16</v>
      </c>
    </row>
    <row r="19" spans="1:23" x14ac:dyDescent="0.35">
      <c r="A19" t="s">
        <v>36</v>
      </c>
      <c r="B19" t="str">
        <f t="shared" si="0"/>
        <v>Indonesia</v>
      </c>
      <c r="C19">
        <f>VLOOKUP(B19,'Literacy Rate'!B17:C224,2,0)</f>
        <v>95.7</v>
      </c>
      <c r="D19">
        <f>VLOOKUP(B19,'Life expectancy index'!B17:C224,2,0)</f>
        <v>0.79600000000000004</v>
      </c>
      <c r="E19">
        <f>VLOOKUP(A19,'Internet users, total (% of pop'!B17:C228,2,0)</f>
        <v>39.799999999999997</v>
      </c>
      <c r="F19">
        <f>VLOOKUP(B19,'Income Index'!B17:C224,2,0)</f>
        <v>0.71599999999999997</v>
      </c>
      <c r="G19">
        <f>VLOOKUP(A19,'Human Development Index (HDI)	'!B17:C222,2,0)</f>
        <v>0.71799999999999997</v>
      </c>
      <c r="H19">
        <f>VLOOKUP(B19,'Government expenditure on educa'!B17:C225,2,0)</f>
        <v>3.6</v>
      </c>
      <c r="I19">
        <f>VLOOKUP(B19,'GDP per capita (2017 PPP $)'!B17:C225,2,0)</f>
        <v>11812</v>
      </c>
      <c r="J19">
        <f>VLOOKUP(B19,'Forest area (% of total land ar'!B17:C227,2,0)</f>
        <v>49.9</v>
      </c>
      <c r="L19" t="s">
        <v>18</v>
      </c>
      <c r="M19">
        <v>2228938</v>
      </c>
      <c r="N19">
        <v>814.9</v>
      </c>
      <c r="O19">
        <v>156071</v>
      </c>
      <c r="P19">
        <v>57.06</v>
      </c>
      <c r="Q19">
        <v>25830</v>
      </c>
      <c r="R19">
        <v>59534</v>
      </c>
      <c r="S19">
        <v>21.77</v>
      </c>
      <c r="T19">
        <v>3163</v>
      </c>
      <c r="U19">
        <v>1.1599999999999999</v>
      </c>
      <c r="V19">
        <v>539</v>
      </c>
      <c r="W19" t="s">
        <v>16</v>
      </c>
    </row>
    <row r="20" spans="1:23" x14ac:dyDescent="0.35">
      <c r="A20" t="s">
        <v>37</v>
      </c>
      <c r="B20" t="str">
        <f t="shared" si="0"/>
        <v>Peru</v>
      </c>
      <c r="C20">
        <f>VLOOKUP(B20,'Literacy Rate'!B18:C225,2,0)</f>
        <v>94.4</v>
      </c>
      <c r="D20">
        <f>VLOOKUP(B20,'Life expectancy index'!B18:C225,2,0)</f>
        <v>0.873</v>
      </c>
      <c r="E20">
        <f>VLOOKUP(A20,'Internet users, total (% of pop'!B18:C229,2,0)</f>
        <v>52.5</v>
      </c>
      <c r="F20">
        <f>VLOOKUP(B20,'Income Index'!B18:C225,2,0)</f>
        <v>0.72599999999999998</v>
      </c>
      <c r="G20">
        <f>VLOOKUP(A20,'Human Development Index (HDI)	'!B18:C223,2,0)</f>
        <v>0.77700000000000002</v>
      </c>
      <c r="H20">
        <f>VLOOKUP(B20,'Government expenditure on educa'!B18:C226,2,0)</f>
        <v>3.7</v>
      </c>
      <c r="I20">
        <f>VLOOKUP(B20,'GDP per capita (2017 PPP $)'!B18:C226,2,0)</f>
        <v>12848</v>
      </c>
      <c r="J20">
        <f>VLOOKUP(B20,'Forest area (% of total land ar'!B18:C228,2,0)</f>
        <v>57.7</v>
      </c>
      <c r="L20" t="s">
        <v>15</v>
      </c>
      <c r="M20">
        <v>2052065</v>
      </c>
      <c r="N20">
        <v>6223.69</v>
      </c>
      <c r="O20">
        <v>15616</v>
      </c>
      <c r="P20">
        <v>47.36</v>
      </c>
      <c r="Q20">
        <v>0</v>
      </c>
      <c r="R20">
        <v>192331</v>
      </c>
      <c r="S20">
        <v>583.32000000000005</v>
      </c>
      <c r="T20">
        <v>1258</v>
      </c>
      <c r="U20">
        <v>3.82</v>
      </c>
      <c r="V20">
        <v>0</v>
      </c>
      <c r="W20" t="s">
        <v>16</v>
      </c>
    </row>
    <row r="21" spans="1:23" x14ac:dyDescent="0.35">
      <c r="A21" t="s">
        <v>38</v>
      </c>
      <c r="B21" t="str">
        <f t="shared" si="0"/>
        <v>South Africa</v>
      </c>
      <c r="C21">
        <f>VLOOKUP(B21,'Literacy Rate'!B19:C226,2,0)</f>
        <v>87</v>
      </c>
      <c r="D21">
        <f>VLOOKUP(B21,'Life expectancy index'!B19:C226,2,0)</f>
        <v>0.67900000000000005</v>
      </c>
      <c r="E21">
        <f>VLOOKUP(A21,'Internet users, total (% of pop'!B19:C230,2,0)</f>
        <v>56.2</v>
      </c>
      <c r="F21">
        <f>VLOOKUP(B21,'Income Index'!B19:C226,2,0)</f>
        <v>0.72499999999999998</v>
      </c>
      <c r="G21">
        <f>VLOOKUP(A21,'Human Development Index (HDI)	'!B19:C224,2,0)</f>
        <v>0.70899999999999996</v>
      </c>
      <c r="H21">
        <f>VLOOKUP(B21,'Government expenditure on educa'!B19:C227,2,0)</f>
        <v>6.2</v>
      </c>
      <c r="I21">
        <f>VLOOKUP(B21,'GDP per capita (2017 PPP $)'!B19:C227,2,0)</f>
        <v>12482</v>
      </c>
      <c r="J21">
        <f>VLOOKUP(B21,'Forest area (% of total land ar'!B19:C229,2,0)</f>
        <v>7.6</v>
      </c>
      <c r="L21" t="s">
        <v>39</v>
      </c>
      <c r="M21">
        <v>1995556</v>
      </c>
      <c r="N21">
        <v>3364.69</v>
      </c>
      <c r="O21">
        <v>118413</v>
      </c>
      <c r="P21">
        <v>199.66</v>
      </c>
      <c r="Q21">
        <v>21584</v>
      </c>
      <c r="R21">
        <v>61029</v>
      </c>
      <c r="S21">
        <v>102.9</v>
      </c>
      <c r="T21">
        <v>1623</v>
      </c>
      <c r="U21">
        <v>2.74</v>
      </c>
      <c r="V21">
        <v>382</v>
      </c>
      <c r="W21" t="s">
        <v>16</v>
      </c>
    </row>
    <row r="22" spans="1:23" x14ac:dyDescent="0.35">
      <c r="A22" t="s">
        <v>40</v>
      </c>
      <c r="B22" t="str">
        <f t="shared" si="0"/>
        <v>Netherlands</v>
      </c>
      <c r="C22" t="str">
        <f>VLOOKUP(B22,'Literacy Rate'!B20:C227,2,0)</f>
        <v>..</v>
      </c>
      <c r="D22">
        <f>VLOOKUP(B22,'Life expectancy index'!B20:C227,2,0)</f>
        <v>0.95799999999999996</v>
      </c>
      <c r="E22">
        <f>VLOOKUP(A22,'Internet users, total (% of pop'!B20:C231,2,0)</f>
        <v>94.7</v>
      </c>
      <c r="F22">
        <f>VLOOKUP(B22,'Income Index'!B20:C227,2,0)</f>
        <v>0.96</v>
      </c>
      <c r="G22">
        <f>VLOOKUP(A22,'Human Development Index (HDI)	'!B20:C225,2,0)</f>
        <v>0.94399999999999995</v>
      </c>
      <c r="H22">
        <f>VLOOKUP(B22,'Government expenditure on educa'!B20:C228,2,0)</f>
        <v>5.5</v>
      </c>
      <c r="I22">
        <f>VLOOKUP(B22,'GDP per capita (2017 PPP $)'!B20:C228,2,0)</f>
        <v>57141</v>
      </c>
      <c r="J22">
        <f>VLOOKUP(B22,'Forest area (% of total land ar'!B20:C230,2,0)</f>
        <v>11.2</v>
      </c>
      <c r="L22" t="s">
        <v>22</v>
      </c>
      <c r="M22">
        <v>1685825</v>
      </c>
      <c r="N22">
        <v>9684.43</v>
      </c>
      <c r="O22">
        <v>4309</v>
      </c>
      <c r="P22">
        <v>24.75</v>
      </c>
      <c r="Q22">
        <v>845</v>
      </c>
      <c r="R22">
        <v>17748</v>
      </c>
      <c r="S22">
        <v>101.96</v>
      </c>
      <c r="T22">
        <v>13</v>
      </c>
      <c r="U22">
        <v>7.0000000000000007E-2</v>
      </c>
      <c r="V22">
        <v>3</v>
      </c>
      <c r="W22" t="s">
        <v>16</v>
      </c>
    </row>
    <row r="23" spans="1:23" x14ac:dyDescent="0.35">
      <c r="A23" t="s">
        <v>41</v>
      </c>
      <c r="B23" t="str">
        <f t="shared" si="0"/>
        <v>Czechia</v>
      </c>
      <c r="C23" t="str">
        <f>VLOOKUP(B23,'Literacy Rate'!B21:C228,2,0)</f>
        <v>..</v>
      </c>
      <c r="D23">
        <f>VLOOKUP(B23,'Life expectancy index'!B21:C228,2,0)</f>
        <v>0.91400000000000003</v>
      </c>
      <c r="E23">
        <f>VLOOKUP(A23,'Internet users, total (% of pop'!B21:C232,2,0)</f>
        <v>80.7</v>
      </c>
      <c r="F23">
        <f>VLOOKUP(B23,'Income Index'!B21:C228,2,0)</f>
        <v>0.89800000000000002</v>
      </c>
      <c r="G23">
        <f>VLOOKUP(A23,'Human Development Index (HDI)	'!B21:C226,2,0)</f>
        <v>0.9</v>
      </c>
      <c r="H23">
        <f>VLOOKUP(B23,'Government expenditure on educa'!B21:C229,2,0)</f>
        <v>5.6</v>
      </c>
      <c r="I23">
        <f>VLOOKUP(B23,'GDP per capita (2017 PPP $)'!B21:C229,2,0)</f>
        <v>40314</v>
      </c>
      <c r="J23">
        <f>VLOOKUP(B23,'Forest area (% of total land ar'!B21:C231,2,0)</f>
        <v>34.6</v>
      </c>
      <c r="L23" t="s">
        <v>22</v>
      </c>
      <c r="M23">
        <v>1667608</v>
      </c>
      <c r="N23">
        <v>15593.95</v>
      </c>
      <c r="O23">
        <v>922</v>
      </c>
      <c r="P23">
        <v>8.6199999999999992</v>
      </c>
      <c r="Q23">
        <v>173</v>
      </c>
      <c r="R23">
        <v>30308</v>
      </c>
      <c r="S23">
        <v>283.41000000000003</v>
      </c>
      <c r="T23">
        <v>16</v>
      </c>
      <c r="U23">
        <v>0.15</v>
      </c>
      <c r="V23">
        <v>4</v>
      </c>
      <c r="W23" t="s">
        <v>16</v>
      </c>
    </row>
    <row r="24" spans="1:23" x14ac:dyDescent="0.35">
      <c r="A24" t="s">
        <v>42</v>
      </c>
      <c r="B24" t="str">
        <f t="shared" si="0"/>
        <v>Chile</v>
      </c>
      <c r="C24">
        <f>VLOOKUP(B24,'Literacy Rate'!B22:C229,2,0)</f>
        <v>96.4</v>
      </c>
      <c r="D24">
        <f>VLOOKUP(B24,'Life expectancy index'!B22:C229,2,0)</f>
        <v>0.92600000000000005</v>
      </c>
      <c r="E24">
        <f>VLOOKUP(A24,'Internet users, total (% of pop'!B22:C233,2,0)</f>
        <v>82.3</v>
      </c>
      <c r="F24">
        <f>VLOOKUP(B24,'Income Index'!B22:C229,2,0)</f>
        <v>0.82299999999999995</v>
      </c>
      <c r="G24">
        <f>VLOOKUP(A24,'Human Development Index (HDI)	'!B22:C227,2,0)</f>
        <v>0.85099999999999998</v>
      </c>
      <c r="H24">
        <f>VLOOKUP(B24,'Government expenditure on educa'!B22:C230,2,0)</f>
        <v>5.4</v>
      </c>
      <c r="I24">
        <f>VLOOKUP(B24,'GDP per capita (2017 PPP $)'!B22:C230,2,0)</f>
        <v>24226</v>
      </c>
      <c r="J24">
        <f>VLOOKUP(B24,'Forest area (% of total land ar'!B22:C232,2,0)</f>
        <v>24.3</v>
      </c>
      <c r="L24" t="s">
        <v>15</v>
      </c>
      <c r="M24">
        <v>1558557</v>
      </c>
      <c r="N24">
        <v>8153.07</v>
      </c>
      <c r="O24">
        <v>26685</v>
      </c>
      <c r="P24">
        <v>139.59</v>
      </c>
      <c r="Q24">
        <v>2655</v>
      </c>
      <c r="R24">
        <v>32588</v>
      </c>
      <c r="S24">
        <v>170.47</v>
      </c>
      <c r="T24">
        <v>791</v>
      </c>
      <c r="U24">
        <v>4.1399999999999997</v>
      </c>
      <c r="V24">
        <v>43</v>
      </c>
      <c r="W24" t="s">
        <v>16</v>
      </c>
    </row>
    <row r="25" spans="1:23" x14ac:dyDescent="0.35">
      <c r="A25" t="s">
        <v>43</v>
      </c>
      <c r="B25" t="str">
        <f t="shared" si="0"/>
        <v>Philippines</v>
      </c>
      <c r="C25">
        <f>VLOOKUP(B25,'Literacy Rate'!B23:C230,2,0)</f>
        <v>98.2</v>
      </c>
      <c r="D25">
        <f>VLOOKUP(B25,'Life expectancy index'!B23:C230,2,0)</f>
        <v>0.78800000000000003</v>
      </c>
      <c r="E25">
        <f>VLOOKUP(A25,'Internet users, total (% of pop'!B23:C234,2,0)</f>
        <v>60.1</v>
      </c>
      <c r="F25">
        <f>VLOOKUP(B25,'Income Index'!B23:C230,2,0)</f>
        <v>0.69199999999999995</v>
      </c>
      <c r="G25">
        <f>VLOOKUP(A25,'Human Development Index (HDI)	'!B23:C228,2,0)</f>
        <v>0.71799999999999997</v>
      </c>
      <c r="H25" t="str">
        <f>VLOOKUP(B25,'Government expenditure on educa'!B23:C231,2,0)</f>
        <v>..</v>
      </c>
      <c r="I25">
        <f>VLOOKUP(B25,'GDP per capita (2017 PPP $)'!B23:C231,2,0)</f>
        <v>8908</v>
      </c>
      <c r="J25">
        <f>VLOOKUP(B25,'Forest area (% of total land ar'!B23:C233,2,0)</f>
        <v>27.8</v>
      </c>
      <c r="L25" t="s">
        <v>44</v>
      </c>
      <c r="M25">
        <v>1418337</v>
      </c>
      <c r="N25">
        <v>1294.33</v>
      </c>
      <c r="O25">
        <v>40096</v>
      </c>
      <c r="P25">
        <v>36.590000000000003</v>
      </c>
      <c r="Q25">
        <v>5795</v>
      </c>
      <c r="R25">
        <v>24797</v>
      </c>
      <c r="S25">
        <v>22.63</v>
      </c>
      <c r="T25">
        <v>761</v>
      </c>
      <c r="U25">
        <v>0.69</v>
      </c>
      <c r="V25">
        <v>135</v>
      </c>
      <c r="W25" t="s">
        <v>16</v>
      </c>
    </row>
    <row r="26" spans="1:23" x14ac:dyDescent="0.35">
      <c r="A26" t="s">
        <v>45</v>
      </c>
      <c r="B26" t="str">
        <f t="shared" si="0"/>
        <v>Canada</v>
      </c>
      <c r="C26" t="str">
        <f>VLOOKUP(B26,'Literacy Rate'!B24:C231,2,0)</f>
        <v>..</v>
      </c>
      <c r="D26">
        <f>VLOOKUP(B26,'Life expectancy index'!B24:C231,2,0)</f>
        <v>0.96</v>
      </c>
      <c r="E26">
        <f>VLOOKUP(A26,'Internet users, total (% of pop'!B24:C235,2,0)</f>
        <v>91</v>
      </c>
      <c r="F26">
        <f>VLOOKUP(B26,'Income Index'!B24:C231,2,0)</f>
        <v>0.93400000000000005</v>
      </c>
      <c r="G26">
        <f>VLOOKUP(A26,'Human Development Index (HDI)	'!B24:C229,2,0)</f>
        <v>0.92900000000000005</v>
      </c>
      <c r="H26" t="str">
        <f>VLOOKUP(B26,'Government expenditure on educa'!B24:C232,2,0)</f>
        <v>..</v>
      </c>
      <c r="I26">
        <f>VLOOKUP(B26,'GDP per capita (2017 PPP $)'!B24:C232,2,0)</f>
        <v>49031</v>
      </c>
      <c r="J26">
        <f>VLOOKUP(B26,'Forest area (% of total land ar'!B24:C234,2,0)</f>
        <v>38.200000000000003</v>
      </c>
      <c r="L26" t="s">
        <v>15</v>
      </c>
      <c r="M26">
        <v>1415284</v>
      </c>
      <c r="N26">
        <v>3749.88</v>
      </c>
      <c r="O26">
        <v>4357</v>
      </c>
      <c r="P26">
        <v>11.54</v>
      </c>
      <c r="Q26">
        <v>548</v>
      </c>
      <c r="R26">
        <v>26295</v>
      </c>
      <c r="S26">
        <v>69.67</v>
      </c>
      <c r="T26">
        <v>120</v>
      </c>
      <c r="U26">
        <v>0.32</v>
      </c>
      <c r="V26">
        <v>22</v>
      </c>
      <c r="W26" t="s">
        <v>16</v>
      </c>
    </row>
    <row r="27" spans="1:23" x14ac:dyDescent="0.35">
      <c r="A27" t="s">
        <v>46</v>
      </c>
      <c r="B27" t="str">
        <f t="shared" si="0"/>
        <v>Iraq</v>
      </c>
      <c r="C27">
        <f>VLOOKUP(B27,'Literacy Rate'!B25:C232,2,0)</f>
        <v>85.6</v>
      </c>
      <c r="D27">
        <f>VLOOKUP(B27,'Life expectancy index'!B25:C232,2,0)</f>
        <v>0.77800000000000002</v>
      </c>
      <c r="E27">
        <f>VLOOKUP(A27,'Internet users, total (% of pop'!B25:C236,2,0)</f>
        <v>49.4</v>
      </c>
      <c r="F27">
        <f>VLOOKUP(B27,'Income Index'!B25:C232,2,0)</f>
        <v>0.70699999999999996</v>
      </c>
      <c r="G27">
        <f>VLOOKUP(A27,'Human Development Index (HDI)	'!B25:C230,2,0)</f>
        <v>0.67400000000000004</v>
      </c>
      <c r="H27" t="str">
        <f>VLOOKUP(B27,'Government expenditure on educa'!B25:C233,2,0)</f>
        <v>..</v>
      </c>
      <c r="I27">
        <f>VLOOKUP(B27,'GDP per capita (2017 PPP $)'!B25:C233,2,0)</f>
        <v>10881</v>
      </c>
      <c r="J27">
        <f>VLOOKUP(B27,'Forest area (% of total land ar'!B25:C235,2,0)</f>
        <v>1.9</v>
      </c>
      <c r="L27" t="s">
        <v>32</v>
      </c>
      <c r="M27">
        <v>1345904</v>
      </c>
      <c r="N27">
        <v>3346.15</v>
      </c>
      <c r="O27">
        <v>40904</v>
      </c>
      <c r="P27">
        <v>101.69</v>
      </c>
      <c r="Q27">
        <v>7300</v>
      </c>
      <c r="R27">
        <v>17186</v>
      </c>
      <c r="S27">
        <v>42.73</v>
      </c>
      <c r="T27">
        <v>218</v>
      </c>
      <c r="U27">
        <v>0.54</v>
      </c>
      <c r="V27">
        <v>30</v>
      </c>
      <c r="W27" t="s">
        <v>16</v>
      </c>
    </row>
    <row r="28" spans="1:23" x14ac:dyDescent="0.35">
      <c r="A28" t="s">
        <v>47</v>
      </c>
      <c r="B28" t="str">
        <f t="shared" si="0"/>
        <v>Sweden</v>
      </c>
      <c r="C28" t="str">
        <f>VLOOKUP(B28,'Literacy Rate'!B26:C233,2,0)</f>
        <v>..</v>
      </c>
      <c r="D28">
        <f>VLOOKUP(B28,'Life expectancy index'!B26:C233,2,0)</f>
        <v>0.96599999999999997</v>
      </c>
      <c r="E28">
        <f>VLOOKUP(A28,'Internet users, total (% of pop'!B26:C237,2,0)</f>
        <v>92.1</v>
      </c>
      <c r="F28">
        <f>VLOOKUP(B28,'Income Index'!B26:C233,2,0)</f>
        <v>0.95199999999999996</v>
      </c>
      <c r="G28">
        <f>VLOOKUP(A28,'Human Development Index (HDI)	'!B26:C231,2,0)</f>
        <v>0.94499999999999995</v>
      </c>
      <c r="H28">
        <f>VLOOKUP(B28,'Government expenditure on educa'!B26:C234,2,0)</f>
        <v>7.7</v>
      </c>
      <c r="I28">
        <f>VLOOKUP(B28,'GDP per capita (2017 PPP $)'!B26:C234,2,0)</f>
        <v>53205</v>
      </c>
      <c r="J28">
        <f>VLOOKUP(B28,'Forest area (% of total land ar'!B26:C236,2,0)</f>
        <v>68.900000000000006</v>
      </c>
      <c r="L28" t="s">
        <v>22</v>
      </c>
      <c r="M28">
        <v>1090553</v>
      </c>
      <c r="N28">
        <v>10559.61</v>
      </c>
      <c r="O28">
        <v>1667</v>
      </c>
      <c r="P28">
        <v>16.14</v>
      </c>
      <c r="Q28">
        <v>561</v>
      </c>
      <c r="R28">
        <v>14630</v>
      </c>
      <c r="S28">
        <v>141.66</v>
      </c>
      <c r="T28">
        <v>2</v>
      </c>
      <c r="U28">
        <v>0.02</v>
      </c>
      <c r="V28">
        <v>0</v>
      </c>
      <c r="W28" t="s">
        <v>16</v>
      </c>
    </row>
    <row r="29" spans="1:23" x14ac:dyDescent="0.35">
      <c r="A29" t="s">
        <v>48</v>
      </c>
      <c r="B29" t="str">
        <f t="shared" si="0"/>
        <v>Belgium</v>
      </c>
      <c r="C29" t="str">
        <f>VLOOKUP(B29,'Literacy Rate'!B27:C234,2,0)</f>
        <v>..</v>
      </c>
      <c r="D29">
        <v>0.94799999999999995</v>
      </c>
      <c r="E29">
        <v>88.7</v>
      </c>
      <c r="F29">
        <v>0.94499999999999995</v>
      </c>
      <c r="G29">
        <v>0.93100000000000005</v>
      </c>
      <c r="H29">
        <v>6.5</v>
      </c>
      <c r="I29">
        <v>51708</v>
      </c>
      <c r="J29">
        <v>22.6</v>
      </c>
      <c r="L29" t="s">
        <v>22</v>
      </c>
      <c r="M29">
        <v>1085885</v>
      </c>
      <c r="N29">
        <v>9424.09</v>
      </c>
      <c r="O29">
        <v>2206</v>
      </c>
      <c r="P29">
        <v>19.149999999999999</v>
      </c>
      <c r="Q29">
        <v>1</v>
      </c>
      <c r="R29">
        <v>25180</v>
      </c>
      <c r="S29">
        <v>218.53</v>
      </c>
      <c r="T29">
        <v>20</v>
      </c>
      <c r="U29">
        <v>0.17</v>
      </c>
      <c r="V29">
        <v>1</v>
      </c>
      <c r="W29" t="s">
        <v>16</v>
      </c>
    </row>
    <row r="30" spans="1:23" x14ac:dyDescent="0.35">
      <c r="A30" t="s">
        <v>49</v>
      </c>
      <c r="B30" t="str">
        <f t="shared" si="0"/>
        <v>Romania</v>
      </c>
      <c r="C30">
        <f>VLOOKUP(B30,'Literacy Rate'!B28:C235,2,0)</f>
        <v>98.8</v>
      </c>
      <c r="D30">
        <f>VLOOKUP(B30,'Life expectancy index'!B28:C235,2,0)</f>
        <v>0.86199999999999999</v>
      </c>
      <c r="E30">
        <f>VLOOKUP(A30,'Internet users, total (% of pop'!B28:C239,2,0)</f>
        <v>70.7</v>
      </c>
      <c r="F30">
        <f>VLOOKUP(B30,'Income Index'!B28:C235,2,0)</f>
        <v>0.85899999999999999</v>
      </c>
      <c r="G30">
        <f>VLOOKUP(A30,'Human Development Index (HDI)	'!B28:C233,2,0)</f>
        <v>0.82799999999999996</v>
      </c>
      <c r="H30">
        <f>VLOOKUP(B30,'Government expenditure on educa'!B28:C236,2,0)</f>
        <v>3</v>
      </c>
      <c r="I30">
        <f>VLOOKUP(B30,'GDP per capita (2017 PPP $)'!B28:C236,2,0)</f>
        <v>29909</v>
      </c>
      <c r="J30">
        <f>VLOOKUP(B30,'Forest area (% of total land ar'!B28:C238,2,0)</f>
        <v>30.1</v>
      </c>
      <c r="L30" t="s">
        <v>22</v>
      </c>
      <c r="M30">
        <v>1080860</v>
      </c>
      <c r="N30">
        <v>5591.96</v>
      </c>
      <c r="O30">
        <v>338</v>
      </c>
      <c r="P30">
        <v>1.75</v>
      </c>
      <c r="Q30">
        <v>37</v>
      </c>
      <c r="R30">
        <v>33898</v>
      </c>
      <c r="S30">
        <v>175.38</v>
      </c>
      <c r="T30">
        <v>28</v>
      </c>
      <c r="U30">
        <v>0.14000000000000001</v>
      </c>
      <c r="V30">
        <v>1</v>
      </c>
      <c r="W30" t="s">
        <v>16</v>
      </c>
    </row>
    <row r="31" spans="1:23" x14ac:dyDescent="0.35">
      <c r="A31" t="s">
        <v>50</v>
      </c>
      <c r="B31" t="str">
        <f t="shared" si="0"/>
        <v>Pakistan</v>
      </c>
      <c r="C31">
        <f>VLOOKUP(B31,'Literacy Rate'!B29:C236,2,0)</f>
        <v>59.1</v>
      </c>
      <c r="D31">
        <f>VLOOKUP(B31,'Life expectancy index'!B29:C236,2,0)</f>
        <v>0.72699999999999998</v>
      </c>
      <c r="E31">
        <f>VLOOKUP(A31,'Internet users, total (% of pop'!B29:C240,2,0)</f>
        <v>15.5</v>
      </c>
      <c r="F31">
        <f>VLOOKUP(B31,'Income Index'!B29:C236,2,0)</f>
        <v>0.59099999999999997</v>
      </c>
      <c r="G31">
        <f>VLOOKUP(A31,'Human Development Index (HDI)	'!B29:C234,2,0)</f>
        <v>0.55700000000000005</v>
      </c>
      <c r="H31">
        <f>VLOOKUP(B31,'Government expenditure on educa'!B29:C237,2,0)</f>
        <v>2.9</v>
      </c>
      <c r="I31">
        <f>VLOOKUP(B31,'GDP per capita (2017 PPP $)'!B29:C237,2,0)</f>
        <v>4690</v>
      </c>
      <c r="J31">
        <f>VLOOKUP(B31,'Forest area (% of total land ar'!B29:C239,2,0)</f>
        <v>1.9</v>
      </c>
      <c r="L31" t="s">
        <v>32</v>
      </c>
      <c r="M31">
        <v>957371</v>
      </c>
      <c r="N31">
        <v>433.41</v>
      </c>
      <c r="O31">
        <v>6603</v>
      </c>
      <c r="P31">
        <v>2.99</v>
      </c>
      <c r="Q31">
        <v>979</v>
      </c>
      <c r="R31">
        <v>22281</v>
      </c>
      <c r="S31">
        <v>10.09</v>
      </c>
      <c r="T31">
        <v>208</v>
      </c>
      <c r="U31">
        <v>0.09</v>
      </c>
      <c r="V31">
        <v>27</v>
      </c>
      <c r="W31" t="s">
        <v>16</v>
      </c>
    </row>
    <row r="32" spans="1:23" x14ac:dyDescent="0.35">
      <c r="A32" t="s">
        <v>51</v>
      </c>
      <c r="B32" t="str">
        <f t="shared" si="0"/>
        <v>Bangladesh</v>
      </c>
      <c r="C32">
        <v>73.900000000000006</v>
      </c>
      <c r="D32">
        <v>0.80900000000000005</v>
      </c>
      <c r="E32">
        <v>15</v>
      </c>
      <c r="F32">
        <v>0.59</v>
      </c>
      <c r="G32">
        <v>0.63200000000000001</v>
      </c>
      <c r="H32">
        <v>2</v>
      </c>
      <c r="I32">
        <v>4754</v>
      </c>
      <c r="J32">
        <v>11</v>
      </c>
      <c r="L32" t="s">
        <v>18</v>
      </c>
      <c r="M32">
        <v>930042</v>
      </c>
      <c r="N32">
        <v>564.72</v>
      </c>
      <c r="O32">
        <v>51238</v>
      </c>
      <c r="P32">
        <v>31.11</v>
      </c>
      <c r="Q32">
        <v>8483</v>
      </c>
      <c r="R32">
        <v>14778</v>
      </c>
      <c r="S32">
        <v>8.9700000000000006</v>
      </c>
      <c r="T32">
        <v>802</v>
      </c>
      <c r="U32">
        <v>0.49</v>
      </c>
      <c r="V32">
        <v>132</v>
      </c>
      <c r="W32" t="s">
        <v>16</v>
      </c>
    </row>
    <row r="33" spans="1:23" x14ac:dyDescent="0.35">
      <c r="A33" t="s">
        <v>52</v>
      </c>
      <c r="B33" t="str">
        <f t="shared" si="0"/>
        <v>Portugal</v>
      </c>
      <c r="C33">
        <f>VLOOKUP(B33,'Literacy Rate'!B31:C238,2,0)</f>
        <v>96.1</v>
      </c>
      <c r="D33">
        <f>VLOOKUP(B33,'Life expectancy index'!B31:C238,2,0)</f>
        <v>0.95499999999999996</v>
      </c>
      <c r="E33">
        <f>VLOOKUP(A33,'Internet users, total (% of pop'!B31:C242,2,0)</f>
        <v>74.7</v>
      </c>
      <c r="F33">
        <f>VLOOKUP(B33,'Income Index'!B31:C238,2,0)</f>
        <v>0.88</v>
      </c>
      <c r="G33">
        <f>VLOOKUP(A33,'Human Development Index (HDI)	'!B31:C236,2,0)</f>
        <v>0.86399999999999999</v>
      </c>
      <c r="H33">
        <f>VLOOKUP(B33,'Government expenditure on educa'!B31:C239,2,0)</f>
        <v>4.9000000000000004</v>
      </c>
      <c r="I33">
        <f>VLOOKUP(B33,'GDP per capita (2017 PPP $)'!B31:C239,2,0)</f>
        <v>34798</v>
      </c>
      <c r="J33">
        <f>VLOOKUP(B33,'Forest area (% of total land ar'!B31:C241,2,0)</f>
        <v>34.6</v>
      </c>
      <c r="L33" t="s">
        <v>22</v>
      </c>
      <c r="M33">
        <v>882006</v>
      </c>
      <c r="N33">
        <v>8566.57</v>
      </c>
      <c r="O33">
        <v>12127</v>
      </c>
      <c r="P33">
        <v>117.78</v>
      </c>
      <c r="Q33">
        <v>2449</v>
      </c>
      <c r="R33">
        <v>17101</v>
      </c>
      <c r="S33">
        <v>166.1</v>
      </c>
      <c r="T33">
        <v>22</v>
      </c>
      <c r="U33">
        <v>0.21</v>
      </c>
      <c r="V33">
        <v>5</v>
      </c>
      <c r="W33" t="s">
        <v>19</v>
      </c>
    </row>
    <row r="34" spans="1:23" x14ac:dyDescent="0.35">
      <c r="A34" t="s">
        <v>53</v>
      </c>
      <c r="B34" t="str">
        <f t="shared" si="0"/>
        <v>Israel</v>
      </c>
      <c r="C34" t="str">
        <f>VLOOKUP(B34,'Literacy Rate'!B32:C239,2,0)</f>
        <v>..</v>
      </c>
      <c r="D34">
        <f>VLOOKUP(B34,'Life expectancy index'!B32:C239,2,0)</f>
        <v>0.96899999999999997</v>
      </c>
      <c r="E34">
        <f>VLOOKUP(A34,'Internet users, total (% of pop'!B32:C243,2,0)</f>
        <v>81.599999999999994</v>
      </c>
      <c r="F34">
        <f>VLOOKUP(B34,'Income Index'!B32:C239,2,0)</f>
        <v>0.90600000000000003</v>
      </c>
      <c r="G34">
        <f>VLOOKUP(A34,'Human Development Index (HDI)	'!B32:C237,2,0)</f>
        <v>0.91900000000000004</v>
      </c>
      <c r="H34">
        <f>VLOOKUP(B34,'Government expenditure on educa'!B32:C240,2,0)</f>
        <v>5.8</v>
      </c>
      <c r="I34">
        <f>VLOOKUP(B34,'GDP per capita (2017 PPP $)'!B32:C240,2,0)</f>
        <v>40162</v>
      </c>
      <c r="J34">
        <f>VLOOKUP(B34,'Forest area (% of total land ar'!B32:C242,2,0)</f>
        <v>7.7</v>
      </c>
      <c r="L34" t="s">
        <v>22</v>
      </c>
      <c r="M34">
        <v>842218</v>
      </c>
      <c r="N34">
        <v>9730.39</v>
      </c>
      <c r="O34">
        <v>1506</v>
      </c>
      <c r="P34">
        <v>17.399999999999999</v>
      </c>
      <c r="Q34">
        <v>319</v>
      </c>
      <c r="R34">
        <v>6429</v>
      </c>
      <c r="S34">
        <v>74.28</v>
      </c>
      <c r="T34">
        <v>0</v>
      </c>
      <c r="U34">
        <v>0</v>
      </c>
      <c r="V34">
        <v>0</v>
      </c>
      <c r="W34" t="s">
        <v>16</v>
      </c>
    </row>
    <row r="35" spans="1:23" x14ac:dyDescent="0.35">
      <c r="A35" t="s">
        <v>54</v>
      </c>
      <c r="B35" t="str">
        <f t="shared" si="0"/>
        <v>Hungary</v>
      </c>
      <c r="C35">
        <f>VLOOKUP(B35,'Literacy Rate'!B33:C240,2,0)</f>
        <v>99.1</v>
      </c>
      <c r="D35">
        <f>VLOOKUP(B35,'Life expectancy index'!B33:C240,2,0)</f>
        <v>0.875</v>
      </c>
      <c r="E35">
        <f>VLOOKUP(A35,'Internet users, total (% of pop'!B33:C244,2,0)</f>
        <v>76.099999999999994</v>
      </c>
      <c r="F35">
        <f>VLOOKUP(B35,'Income Index'!B33:C240,2,0)</f>
        <v>0.86799999999999999</v>
      </c>
      <c r="G35">
        <f>VLOOKUP(A35,'Human Development Index (HDI)	'!B33:C238,2,0)</f>
        <v>0.85399999999999998</v>
      </c>
      <c r="H35">
        <f>VLOOKUP(B35,'Government expenditure on educa'!B33:C241,2,0)</f>
        <v>4.7</v>
      </c>
      <c r="I35">
        <f>VLOOKUP(B35,'GDP per capita (2017 PPP $)'!B33:C241,2,0)</f>
        <v>32623</v>
      </c>
      <c r="J35">
        <f>VLOOKUP(B35,'Forest area (% of total land ar'!B33:C243,2,0)</f>
        <v>22.9</v>
      </c>
      <c r="L35" t="s">
        <v>22</v>
      </c>
      <c r="M35">
        <v>808160</v>
      </c>
      <c r="N35">
        <v>8272.25</v>
      </c>
      <c r="O35">
        <v>250</v>
      </c>
      <c r="P35">
        <v>2.56</v>
      </c>
      <c r="Q35">
        <v>0</v>
      </c>
      <c r="R35">
        <v>29907</v>
      </c>
      <c r="S35">
        <v>306.13</v>
      </c>
      <c r="T35">
        <v>11</v>
      </c>
      <c r="U35">
        <v>0.11</v>
      </c>
      <c r="V35">
        <v>0</v>
      </c>
      <c r="W35" t="s">
        <v>16</v>
      </c>
    </row>
    <row r="36" spans="1:23" x14ac:dyDescent="0.35">
      <c r="A36" t="s">
        <v>55</v>
      </c>
      <c r="B36" t="str">
        <f t="shared" si="0"/>
        <v>Japan</v>
      </c>
      <c r="C36" t="str">
        <f>VLOOKUP(B36,'Literacy Rate'!B34:C241,2,0)</f>
        <v>..</v>
      </c>
      <c r="D36">
        <f>VLOOKUP(B36,'Life expectancy index'!B34:C241,2,0)</f>
        <v>0.99399999999999999</v>
      </c>
      <c r="E36">
        <f>VLOOKUP(A36,'Internet users, total (% of pop'!B34:C245,2,0)</f>
        <v>84.6</v>
      </c>
      <c r="F36">
        <f>VLOOKUP(B36,'Income Index'!B34:C241,2,0)</f>
        <v>0.91600000000000004</v>
      </c>
      <c r="G36">
        <f>VLOOKUP(A36,'Human Development Index (HDI)	'!B34:C239,2,0)</f>
        <v>0.91900000000000004</v>
      </c>
      <c r="H36">
        <f>VLOOKUP(B36,'Government expenditure on educa'!B34:C242,2,0)</f>
        <v>3.2</v>
      </c>
      <c r="I36">
        <f>VLOOKUP(B36,'GDP per capita (2017 PPP $)'!B34:C242,2,0)</f>
        <v>41429</v>
      </c>
      <c r="J36">
        <f>VLOOKUP(B36,'Forest area (% of total land ar'!B34:C244,2,0)</f>
        <v>68.5</v>
      </c>
      <c r="L36" t="s">
        <v>44</v>
      </c>
      <c r="M36">
        <v>801721</v>
      </c>
      <c r="N36">
        <v>633.89</v>
      </c>
      <c r="O36">
        <v>10639</v>
      </c>
      <c r="P36">
        <v>8.41</v>
      </c>
      <c r="Q36">
        <v>1743</v>
      </c>
      <c r="R36">
        <v>14802</v>
      </c>
      <c r="S36">
        <v>11.7</v>
      </c>
      <c r="T36">
        <v>204</v>
      </c>
      <c r="U36">
        <v>0.16</v>
      </c>
      <c r="V36">
        <v>21</v>
      </c>
      <c r="W36" t="s">
        <v>19</v>
      </c>
    </row>
    <row r="37" spans="1:23" x14ac:dyDescent="0.35">
      <c r="A37" t="s">
        <v>56</v>
      </c>
      <c r="B37" t="str">
        <f t="shared" si="0"/>
        <v>Malaysia</v>
      </c>
      <c r="C37">
        <f>VLOOKUP(B37,'Literacy Rate'!B35:C242,2,0)</f>
        <v>94.9</v>
      </c>
      <c r="D37">
        <f>VLOOKUP(B37,'Life expectancy index'!B35:C242,2,0)</f>
        <v>0.86399999999999999</v>
      </c>
      <c r="E37">
        <f>VLOOKUP(A37,'Internet users, total (% of pop'!B35:C246,2,0)</f>
        <v>81.2</v>
      </c>
      <c r="F37">
        <f>VLOOKUP(B37,'Income Index'!B35:C242,2,0)</f>
        <v>0.84899999999999998</v>
      </c>
      <c r="G37">
        <f>VLOOKUP(A37,'Human Development Index (HDI)	'!B35:C240,2,0)</f>
        <v>0.81</v>
      </c>
      <c r="H37">
        <f>VLOOKUP(B37,'Government expenditure on educa'!B35:C243,2,0)</f>
        <v>4.5</v>
      </c>
      <c r="I37">
        <f>VLOOKUP(B37,'GDP per capita (2017 PPP $)'!B35:C243,2,0)</f>
        <v>28351</v>
      </c>
      <c r="J37">
        <f>VLOOKUP(B37,'Forest area (% of total land ar'!B35:C245,2,0)</f>
        <v>67.599999999999994</v>
      </c>
      <c r="L37" t="s">
        <v>44</v>
      </c>
      <c r="M37">
        <v>758967</v>
      </c>
      <c r="N37">
        <v>2344.9499999999998</v>
      </c>
      <c r="O37">
        <v>42120</v>
      </c>
      <c r="P37">
        <v>130.13999999999999</v>
      </c>
      <c r="Q37">
        <v>6988</v>
      </c>
      <c r="R37">
        <v>5254</v>
      </c>
      <c r="S37">
        <v>16.23</v>
      </c>
      <c r="T37">
        <v>533</v>
      </c>
      <c r="U37">
        <v>1.65</v>
      </c>
      <c r="V37">
        <v>84</v>
      </c>
      <c r="W37" t="s">
        <v>16</v>
      </c>
    </row>
    <row r="38" spans="1:23" x14ac:dyDescent="0.35">
      <c r="A38" t="s">
        <v>57</v>
      </c>
      <c r="B38" t="str">
        <f t="shared" si="0"/>
        <v>Jordan</v>
      </c>
      <c r="C38">
        <f>VLOOKUP(B38,'Literacy Rate'!B36:C243,2,0)</f>
        <v>98.2</v>
      </c>
      <c r="D38">
        <f>VLOOKUP(B38,'Life expectancy index'!B36:C243,2,0)</f>
        <v>0.83899999999999997</v>
      </c>
      <c r="E38">
        <f>VLOOKUP(A38,'Internet users, total (% of pop'!B36:C247,2,0)</f>
        <v>66.8</v>
      </c>
      <c r="F38">
        <f>VLOOKUP(B38,'Income Index'!B36:C243,2,0)</f>
        <v>0.69299999999999995</v>
      </c>
      <c r="G38">
        <f>VLOOKUP(A38,'Human Development Index (HDI)	'!B36:C241,2,0)</f>
        <v>0.72899999999999998</v>
      </c>
      <c r="H38">
        <f>VLOOKUP(B38,'Government expenditure on educa'!B36:C244,2,0)</f>
        <v>3.6</v>
      </c>
      <c r="I38">
        <f>VLOOKUP(B38,'GDP per capita (2017 PPP $)'!B36:C244,2,0)</f>
        <v>9906</v>
      </c>
      <c r="J38">
        <f>VLOOKUP(B38,'Forest area (% of total land ar'!B36:C246,2,0)</f>
        <v>1.1000000000000001</v>
      </c>
      <c r="L38" t="s">
        <v>32</v>
      </c>
      <c r="M38">
        <v>751404</v>
      </c>
      <c r="N38">
        <v>7364.44</v>
      </c>
      <c r="O38">
        <v>3301</v>
      </c>
      <c r="P38">
        <v>32.35</v>
      </c>
      <c r="Q38">
        <v>518</v>
      </c>
      <c r="R38">
        <v>9750</v>
      </c>
      <c r="S38">
        <v>95.56</v>
      </c>
      <c r="T38">
        <v>57</v>
      </c>
      <c r="U38">
        <v>0.56000000000000005</v>
      </c>
      <c r="V38">
        <v>7</v>
      </c>
      <c r="W38" t="s">
        <v>16</v>
      </c>
    </row>
    <row r="39" spans="1:23" x14ac:dyDescent="0.35">
      <c r="A39" t="s">
        <v>58</v>
      </c>
      <c r="B39" t="str">
        <f t="shared" si="0"/>
        <v>Serbia</v>
      </c>
      <c r="C39">
        <f>VLOOKUP(B39,'Literacy Rate'!B37:C244,2,0)</f>
        <v>98.8</v>
      </c>
      <c r="D39">
        <f>VLOOKUP(B39,'Life expectancy index'!B37:C244,2,0)</f>
        <v>0.86199999999999999</v>
      </c>
      <c r="E39">
        <f>VLOOKUP(A39,'Internet users, total (% of pop'!B37:C248,2,0)</f>
        <v>73.400000000000006</v>
      </c>
      <c r="F39">
        <f>VLOOKUP(B39,'Income Index'!B37:C244,2,0)</f>
        <v>0.77700000000000002</v>
      </c>
      <c r="G39">
        <f>VLOOKUP(A39,'Human Development Index (HDI)	'!B37:C242,2,0)</f>
        <v>0.80600000000000005</v>
      </c>
      <c r="H39">
        <f>VLOOKUP(B39,'Government expenditure on educa'!B37:C245,2,0)</f>
        <v>3.7</v>
      </c>
      <c r="I39">
        <f>VLOOKUP(B39,'GDP per capita (2017 PPP $)'!B37:C245,2,0)</f>
        <v>18180</v>
      </c>
      <c r="J39">
        <f>VLOOKUP(B39,'Forest area (% of total land ar'!B37:C247,2,0)</f>
        <v>31.1</v>
      </c>
      <c r="L39" t="s">
        <v>22</v>
      </c>
      <c r="M39">
        <v>716643</v>
      </c>
      <c r="N39">
        <v>10346.09</v>
      </c>
      <c r="O39">
        <v>547</v>
      </c>
      <c r="P39">
        <v>7.9</v>
      </c>
      <c r="Q39">
        <v>81</v>
      </c>
      <c r="R39">
        <v>7047</v>
      </c>
      <c r="S39">
        <v>101.74</v>
      </c>
      <c r="T39">
        <v>28</v>
      </c>
      <c r="U39">
        <v>0.4</v>
      </c>
      <c r="V39">
        <v>0</v>
      </c>
      <c r="W39" t="s">
        <v>16</v>
      </c>
    </row>
    <row r="40" spans="1:23" x14ac:dyDescent="0.35">
      <c r="A40" t="s">
        <v>59</v>
      </c>
      <c r="B40" t="str">
        <f t="shared" si="0"/>
        <v>Switzerland</v>
      </c>
      <c r="C40" t="str">
        <f>VLOOKUP(B40,'Literacy Rate'!B38:C245,2,0)</f>
        <v>..</v>
      </c>
      <c r="D40">
        <f>VLOOKUP(B40,'Life expectancy index'!B38:C245,2,0)</f>
        <v>0.98099999999999998</v>
      </c>
      <c r="E40">
        <f>VLOOKUP(A40,'Internet users, total (% of pop'!B38:C249,2,0)</f>
        <v>89.7</v>
      </c>
      <c r="F40">
        <f>VLOOKUP(B40,'Income Index'!B38:C245,2,0)</f>
        <v>0.98799999999999999</v>
      </c>
      <c r="G40">
        <f>VLOOKUP(A40,'Human Development Index (HDI)	'!B38:C243,2,0)</f>
        <v>0.95499999999999996</v>
      </c>
      <c r="H40">
        <f>VLOOKUP(B40,'Government expenditure on educa'!B38:C246,2,0)</f>
        <v>5.0999999999999996</v>
      </c>
      <c r="I40">
        <f>VLOOKUP(B40,'GDP per capita (2017 PPP $)'!B38:C246,2,0)</f>
        <v>68628</v>
      </c>
      <c r="J40">
        <f>VLOOKUP(B40,'Forest area (% of total land ar'!B38:C248,2,0)</f>
        <v>31.8</v>
      </c>
      <c r="L40" t="s">
        <v>22</v>
      </c>
      <c r="M40">
        <v>700044</v>
      </c>
      <c r="N40">
        <v>8088.68</v>
      </c>
      <c r="O40">
        <v>601</v>
      </c>
      <c r="P40">
        <v>6.94</v>
      </c>
      <c r="Q40">
        <v>0</v>
      </c>
      <c r="R40">
        <v>10299</v>
      </c>
      <c r="S40">
        <v>119</v>
      </c>
      <c r="T40">
        <v>5</v>
      </c>
      <c r="U40">
        <v>0.06</v>
      </c>
      <c r="V40">
        <v>0</v>
      </c>
      <c r="W40" t="s">
        <v>16</v>
      </c>
    </row>
    <row r="41" spans="1:23" x14ac:dyDescent="0.35">
      <c r="A41" t="s">
        <v>60</v>
      </c>
      <c r="B41" t="str">
        <f t="shared" si="0"/>
        <v>Austria</v>
      </c>
      <c r="C41" t="str">
        <f>VLOOKUP(B41,'Literacy Rate'!B39:C246,2,0)</f>
        <v>..</v>
      </c>
      <c r="D41">
        <v>0.94699999999999995</v>
      </c>
      <c r="E41">
        <v>87.7</v>
      </c>
      <c r="F41">
        <v>0.95599999999999996</v>
      </c>
      <c r="G41">
        <v>0.92200000000000004</v>
      </c>
      <c r="H41">
        <v>5.5</v>
      </c>
      <c r="I41">
        <v>56352</v>
      </c>
      <c r="J41">
        <v>46.9</v>
      </c>
      <c r="L41" t="s">
        <v>22</v>
      </c>
      <c r="M41">
        <v>646400</v>
      </c>
      <c r="N41">
        <v>7262.05</v>
      </c>
      <c r="O41">
        <v>651</v>
      </c>
      <c r="P41">
        <v>7.31</v>
      </c>
      <c r="Q41">
        <v>111</v>
      </c>
      <c r="R41">
        <v>10490</v>
      </c>
      <c r="S41">
        <v>117.85</v>
      </c>
      <c r="T41">
        <v>6</v>
      </c>
      <c r="U41">
        <v>7.0000000000000007E-2</v>
      </c>
      <c r="V41">
        <v>1</v>
      </c>
      <c r="W41" t="s">
        <v>16</v>
      </c>
    </row>
    <row r="42" spans="1:23" x14ac:dyDescent="0.35">
      <c r="A42" t="s">
        <v>61</v>
      </c>
      <c r="B42" t="str">
        <f t="shared" si="0"/>
        <v>Nepal</v>
      </c>
      <c r="C42">
        <f>VLOOKUP(B42,'Literacy Rate'!B40:C247,2,0)</f>
        <v>67.900000000000006</v>
      </c>
      <c r="D42">
        <f>VLOOKUP(B42,'Life expectancy index'!B40:C247,2,0)</f>
        <v>0.78100000000000003</v>
      </c>
      <c r="E42">
        <f>VLOOKUP(A42,'Internet users, total (% of pop'!B40:C251,2,0)</f>
        <v>34</v>
      </c>
      <c r="F42">
        <f>VLOOKUP(B42,'Income Index'!B40:C247,2,0)</f>
        <v>0.53500000000000003</v>
      </c>
      <c r="G42">
        <f>VLOOKUP(A42,'Human Development Index (HDI)	'!B40:C245,2,0)</f>
        <v>0.60199999999999998</v>
      </c>
      <c r="H42">
        <f>VLOOKUP(B42,'Government expenditure on educa'!B40:C248,2,0)</f>
        <v>5.2</v>
      </c>
      <c r="I42">
        <f>VLOOKUP(B42,'GDP per capita (2017 PPP $)'!B40:C248,2,0)</f>
        <v>3417</v>
      </c>
      <c r="J42">
        <f>VLOOKUP(B42,'Forest area (% of total land ar'!B40:C250,2,0)</f>
        <v>25.4</v>
      </c>
      <c r="L42" t="s">
        <v>18</v>
      </c>
      <c r="M42">
        <v>642053</v>
      </c>
      <c r="N42">
        <v>2203.58</v>
      </c>
      <c r="O42">
        <v>10901</v>
      </c>
      <c r="P42">
        <v>37.409999999999997</v>
      </c>
      <c r="Q42">
        <v>1391</v>
      </c>
      <c r="R42">
        <v>9179</v>
      </c>
      <c r="S42">
        <v>31.5</v>
      </c>
      <c r="T42">
        <v>234</v>
      </c>
      <c r="U42">
        <v>0.8</v>
      </c>
      <c r="V42">
        <v>34</v>
      </c>
      <c r="W42" t="s">
        <v>16</v>
      </c>
    </row>
    <row r="43" spans="1:23" x14ac:dyDescent="0.35">
      <c r="A43" t="s">
        <v>62</v>
      </c>
      <c r="B43" t="str">
        <f t="shared" si="0"/>
        <v>United Arab Emirates</v>
      </c>
      <c r="C43">
        <f>VLOOKUP(B43,'Literacy Rate'!B41:C248,2,0)</f>
        <v>93.2</v>
      </c>
      <c r="D43">
        <f>VLOOKUP(B43,'Life expectancy index'!B41:C248,2,0)</f>
        <v>0.89200000000000002</v>
      </c>
      <c r="E43">
        <f>VLOOKUP(A43,'Internet users, total (% of pop'!B41:C252,2,0)</f>
        <v>98.5</v>
      </c>
      <c r="F43">
        <f>VLOOKUP(B43,'Income Index'!B41:C248,2,0)</f>
        <v>0.98399999999999999</v>
      </c>
      <c r="G43">
        <f>VLOOKUP(A43,'Human Development Index (HDI)	'!B41:C246,2,0)</f>
        <v>0.89</v>
      </c>
      <c r="H43" t="str">
        <f>VLOOKUP(B43,'Government expenditure on educa'!B41:C249,2,0)</f>
        <v>..</v>
      </c>
      <c r="I43">
        <f>VLOOKUP(B43,'GDP per capita (2017 PPP $)'!B41:C249,2,0)</f>
        <v>67119</v>
      </c>
      <c r="J43">
        <f>VLOOKUP(B43,'Forest area (% of total land ar'!B41:C251,2,0)</f>
        <v>4.5999999999999996</v>
      </c>
      <c r="L43" t="s">
        <v>32</v>
      </c>
      <c r="M43">
        <v>632907</v>
      </c>
      <c r="N43">
        <v>6399.2</v>
      </c>
      <c r="O43">
        <v>14759</v>
      </c>
      <c r="P43">
        <v>149.22999999999999</v>
      </c>
      <c r="Q43">
        <v>1747</v>
      </c>
      <c r="R43">
        <v>1811</v>
      </c>
      <c r="S43">
        <v>18.309999999999999</v>
      </c>
      <c r="T43">
        <v>38</v>
      </c>
      <c r="U43">
        <v>0.38</v>
      </c>
      <c r="V43">
        <v>4</v>
      </c>
      <c r="W43" t="s">
        <v>16</v>
      </c>
    </row>
    <row r="44" spans="1:23" x14ac:dyDescent="0.35">
      <c r="A44" t="s">
        <v>63</v>
      </c>
      <c r="B44" t="str">
        <f t="shared" si="0"/>
        <v>Lebanon</v>
      </c>
      <c r="C44">
        <f>VLOOKUP(B44,'Literacy Rate'!B42:C249,2,0)</f>
        <v>95.1</v>
      </c>
      <c r="D44">
        <f>VLOOKUP(B44,'Life expectancy index'!B42:C249,2,0)</f>
        <v>0.90700000000000003</v>
      </c>
      <c r="E44">
        <f>VLOOKUP(A44,'Internet users, total (% of pop'!B42:C253,2,0)</f>
        <v>78.2</v>
      </c>
      <c r="F44">
        <f>VLOOKUP(B44,'Income Index'!B42:C249,2,0)</f>
        <v>0.753</v>
      </c>
      <c r="G44">
        <f>VLOOKUP(A44,'Human Development Index (HDI)	'!B42:C247,2,0)</f>
        <v>0.74399999999999999</v>
      </c>
      <c r="H44">
        <f>VLOOKUP(B44,'Government expenditure on educa'!B42:C250,2,0)</f>
        <v>2.4</v>
      </c>
      <c r="I44">
        <f>VLOOKUP(B44,'GDP per capita (2017 PPP $)'!B42:C250,2,0)</f>
        <v>14717</v>
      </c>
      <c r="J44">
        <f>VLOOKUP(B44,'Forest area (% of total land ar'!B42:C252,2,0)</f>
        <v>13.4</v>
      </c>
      <c r="L44" t="s">
        <v>32</v>
      </c>
      <c r="M44">
        <v>544866</v>
      </c>
      <c r="N44">
        <v>7982.86</v>
      </c>
      <c r="O44">
        <v>1001</v>
      </c>
      <c r="P44">
        <v>14.67</v>
      </c>
      <c r="Q44">
        <v>161</v>
      </c>
      <c r="R44">
        <v>7851</v>
      </c>
      <c r="S44">
        <v>115.03</v>
      </c>
      <c r="T44">
        <v>19</v>
      </c>
      <c r="U44">
        <v>0.28000000000000003</v>
      </c>
      <c r="V44">
        <v>3</v>
      </c>
      <c r="W44" t="s">
        <v>16</v>
      </c>
    </row>
    <row r="45" spans="1:23" x14ac:dyDescent="0.35">
      <c r="A45" t="s">
        <v>64</v>
      </c>
      <c r="B45" t="str">
        <f t="shared" si="0"/>
        <v>Morocco</v>
      </c>
      <c r="C45">
        <f>VLOOKUP(B45,'Literacy Rate'!B43:C250,2,0)</f>
        <v>73.8</v>
      </c>
      <c r="D45">
        <f>VLOOKUP(B45,'Life expectancy index'!B43:C250,2,0)</f>
        <v>0.872</v>
      </c>
      <c r="E45">
        <f>VLOOKUP(A45,'Internet users, total (% of pop'!B43:C254,2,0)</f>
        <v>64.8</v>
      </c>
      <c r="F45">
        <f>VLOOKUP(B45,'Income Index'!B43:C250,2,0)</f>
        <v>0.65</v>
      </c>
      <c r="G45">
        <f>VLOOKUP(A45,'Human Development Index (HDI)	'!B43:C248,2,0)</f>
        <v>0.68600000000000005</v>
      </c>
      <c r="H45" t="str">
        <f>VLOOKUP(B45,'Government expenditure on educa'!B43:C251,2,0)</f>
        <v>..</v>
      </c>
      <c r="I45">
        <f>VLOOKUP(B45,'GDP per capita (2017 PPP $)'!B43:C251,2,0)</f>
        <v>7515</v>
      </c>
      <c r="J45">
        <f>VLOOKUP(B45,'Forest area (% of total land ar'!B43:C253,2,0)</f>
        <v>12.6</v>
      </c>
      <c r="L45" t="s">
        <v>32</v>
      </c>
      <c r="M45">
        <v>531361</v>
      </c>
      <c r="N45">
        <v>1439.59</v>
      </c>
      <c r="O45">
        <v>3665</v>
      </c>
      <c r="P45">
        <v>9.93</v>
      </c>
      <c r="Q45">
        <v>776</v>
      </c>
      <c r="R45">
        <v>9296</v>
      </c>
      <c r="S45">
        <v>25.19</v>
      </c>
      <c r="T45">
        <v>42</v>
      </c>
      <c r="U45">
        <v>0.11</v>
      </c>
      <c r="V45">
        <v>4</v>
      </c>
      <c r="W45" t="s">
        <v>16</v>
      </c>
    </row>
    <row r="46" spans="1:23" x14ac:dyDescent="0.35">
      <c r="A46" t="s">
        <v>65</v>
      </c>
      <c r="B46" t="str">
        <f t="shared" si="0"/>
        <v>Saudi Arabia</v>
      </c>
      <c r="C46">
        <f>VLOOKUP(B46,'Literacy Rate'!B44:C251,2,0)</f>
        <v>95.3</v>
      </c>
      <c r="D46">
        <f>VLOOKUP(B46,'Life expectancy index'!B44:C251,2,0)</f>
        <v>0.84799999999999998</v>
      </c>
      <c r="E46">
        <f>VLOOKUP(A46,'Internet users, total (% of pop'!B44:C255,2,0)</f>
        <v>93.3</v>
      </c>
      <c r="F46">
        <f>VLOOKUP(B46,'Income Index'!B44:C251,2,0)</f>
        <v>0.93100000000000005</v>
      </c>
      <c r="G46">
        <f>VLOOKUP(A46,'Human Development Index (HDI)	'!B44:C249,2,0)</f>
        <v>0.85399999999999998</v>
      </c>
      <c r="H46" t="str">
        <f>VLOOKUP(B46,'Government expenditure on educa'!B44:C252,2,0)</f>
        <v>..</v>
      </c>
      <c r="I46">
        <f>VLOOKUP(B46,'GDP per capita (2017 PPP $)'!B44:C252,2,0)</f>
        <v>46962</v>
      </c>
      <c r="J46">
        <f>VLOOKUP(B46,'Forest area (% of total land ar'!B44:C254,2,0)</f>
        <v>0.5</v>
      </c>
      <c r="L46" t="s">
        <v>32</v>
      </c>
      <c r="M46">
        <v>487592</v>
      </c>
      <c r="N46">
        <v>1400.57</v>
      </c>
      <c r="O46">
        <v>9457</v>
      </c>
      <c r="P46">
        <v>27.16</v>
      </c>
      <c r="Q46">
        <v>1486</v>
      </c>
      <c r="R46">
        <v>7819</v>
      </c>
      <c r="S46">
        <v>22.46</v>
      </c>
      <c r="T46">
        <v>103</v>
      </c>
      <c r="U46">
        <v>0.3</v>
      </c>
      <c r="V46">
        <v>15</v>
      </c>
      <c r="W46" t="s">
        <v>16</v>
      </c>
    </row>
    <row r="47" spans="1:23" x14ac:dyDescent="0.35">
      <c r="A47" t="s">
        <v>66</v>
      </c>
      <c r="B47" t="str">
        <f t="shared" si="0"/>
        <v>Kazakhstan</v>
      </c>
      <c r="C47">
        <f>VLOOKUP(B47,'Literacy Rate'!B45:C252,2,0)</f>
        <v>99.8</v>
      </c>
      <c r="D47">
        <f>VLOOKUP(B47,'Life expectancy index'!B45:C252,2,0)</f>
        <v>0.82499999999999996</v>
      </c>
      <c r="E47">
        <f>VLOOKUP(A47,'Internet users, total (% of pop'!B45:C256,2,0)</f>
        <v>78.900000000000006</v>
      </c>
      <c r="F47">
        <f>VLOOKUP(B47,'Income Index'!B45:C252,2,0)</f>
        <v>0.82099999999999995</v>
      </c>
      <c r="G47">
        <f>VLOOKUP(A47,'Human Development Index (HDI)	'!B45:C250,2,0)</f>
        <v>0.82499999999999996</v>
      </c>
      <c r="H47">
        <f>VLOOKUP(B47,'Government expenditure on educa'!B45:C253,2,0)</f>
        <v>2.8</v>
      </c>
      <c r="I47">
        <f>VLOOKUP(B47,'GDP per capita (2017 PPP $)'!B45:C253,2,0)</f>
        <v>26351</v>
      </c>
      <c r="J47">
        <f>VLOOKUP(B47,'Forest area (% of total land ar'!B45:C255,2,0)</f>
        <v>1.2</v>
      </c>
      <c r="L47" t="s">
        <v>22</v>
      </c>
      <c r="M47">
        <v>485352</v>
      </c>
      <c r="N47">
        <v>2584.86</v>
      </c>
      <c r="O47">
        <v>12070</v>
      </c>
      <c r="P47">
        <v>64.28</v>
      </c>
      <c r="Q47">
        <v>0</v>
      </c>
      <c r="R47">
        <v>7759</v>
      </c>
      <c r="S47">
        <v>41.32</v>
      </c>
      <c r="T47">
        <v>93</v>
      </c>
      <c r="U47">
        <v>0.5</v>
      </c>
      <c r="V47">
        <v>0</v>
      </c>
      <c r="W47" t="s">
        <v>19</v>
      </c>
    </row>
    <row r="48" spans="1:23" x14ac:dyDescent="0.35">
      <c r="A48" t="s">
        <v>67</v>
      </c>
      <c r="B48" t="str">
        <f t="shared" si="0"/>
        <v>Ecuador</v>
      </c>
      <c r="C48">
        <v>92.8</v>
      </c>
      <c r="D48">
        <f>VLOOKUP(B48,'Life expectancy index'!B46:C253,2,0)</f>
        <v>0.877</v>
      </c>
      <c r="E48">
        <f>VLOOKUP(A48,'Internet users, total (% of pop'!B46:C257,2,0)</f>
        <v>57.3</v>
      </c>
      <c r="F48">
        <f>VLOOKUP(B48,'Income Index'!B46:C253,2,0)</f>
        <v>0.71099999999999997</v>
      </c>
      <c r="G48">
        <f>VLOOKUP(A48,'Human Development Index (HDI)	'!B46:C251,2,0)</f>
        <v>0.75900000000000001</v>
      </c>
      <c r="H48">
        <f>VLOOKUP(B48,'Government expenditure on educa'!B46:C254,2,0)</f>
        <v>5</v>
      </c>
      <c r="I48">
        <f>VLOOKUP(B48,'GDP per capita (2017 PPP $)'!B46:C254,2,0)</f>
        <v>11375</v>
      </c>
      <c r="J48">
        <f>VLOOKUP(B48,'Forest area (% of total land ar'!B46:C256,2,0)</f>
        <v>50.2</v>
      </c>
      <c r="L48" t="s">
        <v>15</v>
      </c>
      <c r="M48">
        <v>459538</v>
      </c>
      <c r="N48">
        <v>2604.64</v>
      </c>
      <c r="O48">
        <v>10055</v>
      </c>
      <c r="P48">
        <v>56.99</v>
      </c>
      <c r="Q48">
        <v>1034</v>
      </c>
      <c r="R48">
        <v>21605</v>
      </c>
      <c r="S48">
        <v>122.46</v>
      </c>
      <c r="T48">
        <v>228</v>
      </c>
      <c r="U48">
        <v>1.29</v>
      </c>
      <c r="V48">
        <v>45</v>
      </c>
      <c r="W48" t="s">
        <v>16</v>
      </c>
    </row>
    <row r="49" spans="1:23" x14ac:dyDescent="0.35">
      <c r="A49" t="s">
        <v>68</v>
      </c>
      <c r="B49" t="str">
        <f t="shared" si="0"/>
        <v>Bolivia (Plurinational State of)</v>
      </c>
      <c r="C49">
        <v>92.5</v>
      </c>
      <c r="D49">
        <v>0.79200000000000004</v>
      </c>
      <c r="E49">
        <v>43.8</v>
      </c>
      <c r="F49">
        <v>0.67200000000000004</v>
      </c>
      <c r="G49">
        <v>0.71799999999999997</v>
      </c>
      <c r="H49" t="str">
        <f>VLOOKUP(B49,'Government expenditure on educa'!B47:C255,2,0)</f>
        <v>..</v>
      </c>
      <c r="I49">
        <v>8724</v>
      </c>
      <c r="J49">
        <v>50.3</v>
      </c>
      <c r="L49" t="s">
        <v>15</v>
      </c>
      <c r="M49">
        <v>439624</v>
      </c>
      <c r="N49">
        <v>3766.15</v>
      </c>
      <c r="O49">
        <v>12876</v>
      </c>
      <c r="P49">
        <v>110.31</v>
      </c>
      <c r="Q49">
        <v>2001</v>
      </c>
      <c r="R49">
        <v>16767</v>
      </c>
      <c r="S49">
        <v>143.63999999999999</v>
      </c>
      <c r="T49">
        <v>438</v>
      </c>
      <c r="U49">
        <v>3.75</v>
      </c>
      <c r="V49">
        <v>65</v>
      </c>
      <c r="W49" t="s">
        <v>16</v>
      </c>
    </row>
    <row r="50" spans="1:23" x14ac:dyDescent="0.35">
      <c r="A50" t="s">
        <v>69</v>
      </c>
      <c r="B50" t="str">
        <f t="shared" si="0"/>
        <v>Paraguay</v>
      </c>
      <c r="C50">
        <f>VLOOKUP(B50,'Literacy Rate'!B48:C255,2,0)</f>
        <v>94</v>
      </c>
      <c r="D50">
        <f>VLOOKUP(B50,'Life expectancy index'!B48:C255,2,0)</f>
        <v>0.83499999999999996</v>
      </c>
      <c r="E50">
        <f>VLOOKUP(A50,'Internet users, total (% of pop'!B48:C259,2,0)</f>
        <v>65</v>
      </c>
      <c r="F50">
        <f>VLOOKUP(B50,'Income Index'!B48:C255,2,0)</f>
        <v>0.72599999999999998</v>
      </c>
      <c r="G50">
        <f>VLOOKUP(A50,'Human Development Index (HDI)	'!B48:C253,2,0)</f>
        <v>0.72799999999999998</v>
      </c>
      <c r="H50">
        <f>VLOOKUP(B50,'Government expenditure on educa'!B48:C256,2,0)</f>
        <v>3.4</v>
      </c>
      <c r="I50">
        <f>VLOOKUP(B50,'GDP per capita (2017 PPP $)'!B48:C256,2,0)</f>
        <v>12685</v>
      </c>
      <c r="J50">
        <f>VLOOKUP(B50,'Forest area (% of total land ar'!B48:C258,2,0)</f>
        <v>37.700000000000003</v>
      </c>
      <c r="L50" t="s">
        <v>15</v>
      </c>
      <c r="M50">
        <v>423282</v>
      </c>
      <c r="N50">
        <v>5934.52</v>
      </c>
      <c r="O50">
        <v>11667</v>
      </c>
      <c r="P50">
        <v>163.57</v>
      </c>
      <c r="Q50">
        <v>1693</v>
      </c>
      <c r="R50">
        <v>12895</v>
      </c>
      <c r="S50">
        <v>180.79</v>
      </c>
      <c r="T50">
        <v>922</v>
      </c>
      <c r="U50">
        <v>12.93</v>
      </c>
      <c r="V50">
        <v>132</v>
      </c>
      <c r="W50" t="s">
        <v>16</v>
      </c>
    </row>
    <row r="51" spans="1:23" x14ac:dyDescent="0.35">
      <c r="A51" t="s">
        <v>70</v>
      </c>
      <c r="B51" t="str">
        <f t="shared" si="0"/>
        <v>Greece</v>
      </c>
      <c r="C51">
        <f>VLOOKUP(B51,'Literacy Rate'!B49:C256,2,0)</f>
        <v>97.9</v>
      </c>
      <c r="D51">
        <f>VLOOKUP(B51,'Life expectancy index'!B49:C256,2,0)</f>
        <v>0.95799999999999996</v>
      </c>
      <c r="E51">
        <f>VLOOKUP(A51,'Internet users, total (% of pop'!B49:C260,2,0)</f>
        <v>73</v>
      </c>
      <c r="F51">
        <f>VLOOKUP(B51,'Income Index'!B49:C256,2,0)</f>
        <v>0.86199999999999999</v>
      </c>
      <c r="G51">
        <f>VLOOKUP(A51,'Human Development Index (HDI)	'!B49:C254,2,0)</f>
        <v>0.88800000000000001</v>
      </c>
      <c r="H51" t="str">
        <f>VLOOKUP(B51,'Government expenditure on educa'!B49:C257,2,0)</f>
        <v>..</v>
      </c>
      <c r="I51">
        <f>VLOOKUP(B51,'GDP per capita (2017 PPP $)'!B49:C257,2,0)</f>
        <v>30315</v>
      </c>
      <c r="J51">
        <f>VLOOKUP(B51,'Forest area (% of total land ar'!B49:C259,2,0)</f>
        <v>31.7</v>
      </c>
      <c r="L51" t="s">
        <v>22</v>
      </c>
      <c r="M51">
        <v>423185</v>
      </c>
      <c r="N51">
        <v>3948.15</v>
      </c>
      <c r="O51">
        <v>3276</v>
      </c>
      <c r="P51">
        <v>30.56</v>
      </c>
      <c r="Q51">
        <v>729</v>
      </c>
      <c r="R51">
        <v>12710</v>
      </c>
      <c r="S51">
        <v>118.58</v>
      </c>
      <c r="T51">
        <v>97</v>
      </c>
      <c r="U51">
        <v>0.9</v>
      </c>
      <c r="V51">
        <v>4</v>
      </c>
      <c r="W51" t="s">
        <v>16</v>
      </c>
    </row>
    <row r="52" spans="1:23" x14ac:dyDescent="0.35">
      <c r="A52" t="s">
        <v>71</v>
      </c>
      <c r="B52" t="str">
        <f t="shared" si="0"/>
        <v>Bulgaria</v>
      </c>
      <c r="C52">
        <v>98.4</v>
      </c>
      <c r="D52">
        <v>0.84699999999999998</v>
      </c>
      <c r="E52">
        <v>64.8</v>
      </c>
      <c r="F52">
        <v>0.82399999999999995</v>
      </c>
      <c r="G52">
        <v>0.81599999999999995</v>
      </c>
      <c r="H52">
        <v>4.0999999999999996</v>
      </c>
      <c r="I52">
        <v>23091</v>
      </c>
      <c r="J52">
        <v>35.4</v>
      </c>
      <c r="L52" t="s">
        <v>22</v>
      </c>
      <c r="M52">
        <v>421902</v>
      </c>
      <c r="N52">
        <v>6069.24</v>
      </c>
      <c r="O52">
        <v>501</v>
      </c>
      <c r="P52">
        <v>7.21</v>
      </c>
      <c r="Q52">
        <v>73</v>
      </c>
      <c r="R52">
        <v>18067</v>
      </c>
      <c r="S52">
        <v>259.89999999999998</v>
      </c>
      <c r="T52">
        <v>45</v>
      </c>
      <c r="U52">
        <v>0.65</v>
      </c>
      <c r="V52">
        <v>6</v>
      </c>
      <c r="W52" t="s">
        <v>19</v>
      </c>
    </row>
    <row r="53" spans="1:23" x14ac:dyDescent="0.35">
      <c r="A53" t="s">
        <v>72</v>
      </c>
      <c r="B53" t="str">
        <f t="shared" si="0"/>
        <v>Tunisia</v>
      </c>
      <c r="C53">
        <f>VLOOKUP(B53,'Literacy Rate'!B51:C258,2,0)</f>
        <v>79</v>
      </c>
      <c r="D53">
        <f>VLOOKUP(B53,'Life expectancy index'!B51:C258,2,0)</f>
        <v>0.872</v>
      </c>
      <c r="E53">
        <f>VLOOKUP(A53,'Internet users, total (% of pop'!B51:C262,2,0)</f>
        <v>64.2</v>
      </c>
      <c r="F53">
        <f>VLOOKUP(B53,'Income Index'!B51:C258,2,0)</f>
        <v>0.70199999999999996</v>
      </c>
      <c r="G53">
        <f>VLOOKUP(A53,'Human Development Index (HDI)	'!B51:C256,2,0)</f>
        <v>0.74</v>
      </c>
      <c r="H53">
        <f>VLOOKUP(B53,'Government expenditure on educa'!B51:C259,2,0)</f>
        <v>6.6</v>
      </c>
      <c r="I53">
        <f>VLOOKUP(B53,'GDP per capita (2017 PPP $)'!B51:C259,2,0)</f>
        <v>10756</v>
      </c>
      <c r="J53">
        <f>VLOOKUP(B53,'Forest area (% of total land ar'!B51:C261,2,0)</f>
        <v>6.8</v>
      </c>
      <c r="L53" t="s">
        <v>32</v>
      </c>
      <c r="M53">
        <v>420103</v>
      </c>
      <c r="N53">
        <v>3554.59</v>
      </c>
      <c r="O53">
        <v>28692</v>
      </c>
      <c r="P53">
        <v>242.77</v>
      </c>
      <c r="Q53">
        <v>5921</v>
      </c>
      <c r="R53">
        <v>14959</v>
      </c>
      <c r="S53">
        <v>126.57</v>
      </c>
      <c r="T53">
        <v>641</v>
      </c>
      <c r="U53">
        <v>5.42</v>
      </c>
      <c r="V53">
        <v>116</v>
      </c>
      <c r="W53" t="s">
        <v>16</v>
      </c>
    </row>
    <row r="54" spans="1:23" x14ac:dyDescent="0.35">
      <c r="A54" t="s">
        <v>73</v>
      </c>
      <c r="B54" t="str">
        <f t="shared" si="0"/>
        <v>Belarus</v>
      </c>
      <c r="C54">
        <v>99.8</v>
      </c>
      <c r="D54">
        <v>0.84299999999999997</v>
      </c>
      <c r="E54">
        <v>79.099999999999994</v>
      </c>
      <c r="F54">
        <v>0.78900000000000003</v>
      </c>
      <c r="G54">
        <v>0.82299999999999995</v>
      </c>
      <c r="H54">
        <v>4.8</v>
      </c>
      <c r="I54">
        <v>19150</v>
      </c>
      <c r="J54">
        <v>42.6</v>
      </c>
      <c r="L54" t="s">
        <v>22</v>
      </c>
      <c r="M54">
        <v>418212</v>
      </c>
      <c r="N54">
        <v>4425.84</v>
      </c>
      <c r="O54">
        <v>5073</v>
      </c>
      <c r="P54">
        <v>53.69</v>
      </c>
      <c r="Q54">
        <v>1023</v>
      </c>
      <c r="R54">
        <v>3153</v>
      </c>
      <c r="S54">
        <v>33.369999999999997</v>
      </c>
      <c r="T54">
        <v>71</v>
      </c>
      <c r="U54">
        <v>0.75</v>
      </c>
      <c r="V54">
        <v>10</v>
      </c>
      <c r="W54" t="s">
        <v>16</v>
      </c>
    </row>
    <row r="55" spans="1:23" x14ac:dyDescent="0.35">
      <c r="A55" t="s">
        <v>74</v>
      </c>
      <c r="B55" t="str">
        <f t="shared" si="0"/>
        <v>Panama</v>
      </c>
      <c r="C55">
        <f>VLOOKUP(B55,'Literacy Rate'!B53:C260,2,0)</f>
        <v>95.4</v>
      </c>
      <c r="D55">
        <f>VLOOKUP(B55,'Life expectancy index'!B53:C260,2,0)</f>
        <v>0.9</v>
      </c>
      <c r="E55">
        <f>VLOOKUP(A55,'Internet users, total (% of pop'!B53:C264,2,0)</f>
        <v>57.9</v>
      </c>
      <c r="F55">
        <f>VLOOKUP(B55,'Income Index'!B53:C260,2,0)</f>
        <v>0.85899999999999999</v>
      </c>
      <c r="G55">
        <f>VLOOKUP(A55,'Human Development Index (HDI)	'!B53:C258,2,0)</f>
        <v>0.81499999999999995</v>
      </c>
      <c r="H55" t="str">
        <f>VLOOKUP(B55,'Government expenditure on educa'!B53:C261,2,0)</f>
        <v>..</v>
      </c>
      <c r="I55">
        <f>VLOOKUP(B55,'GDP per capita (2017 PPP $)'!B53:C261,2,0)</f>
        <v>31459</v>
      </c>
      <c r="J55">
        <f>VLOOKUP(B55,'Forest area (% of total land ar'!B53:C263,2,0)</f>
        <v>61.9</v>
      </c>
      <c r="L55" t="s">
        <v>15</v>
      </c>
      <c r="M55">
        <v>403778</v>
      </c>
      <c r="N55">
        <v>9358.0499999999993</v>
      </c>
      <c r="O55">
        <v>7252</v>
      </c>
      <c r="P55">
        <v>168.07</v>
      </c>
      <c r="Q55">
        <v>1197</v>
      </c>
      <c r="R55">
        <v>6545</v>
      </c>
      <c r="S55">
        <v>151.69</v>
      </c>
      <c r="T55">
        <v>54</v>
      </c>
      <c r="U55">
        <v>1.25</v>
      </c>
      <c r="V55">
        <v>9</v>
      </c>
      <c r="W55" t="s">
        <v>16</v>
      </c>
    </row>
    <row r="56" spans="1:23" x14ac:dyDescent="0.35">
      <c r="A56" t="s">
        <v>75</v>
      </c>
      <c r="B56" t="str">
        <f t="shared" si="0"/>
        <v>Slovakia</v>
      </c>
      <c r="C56" t="str">
        <f>VLOOKUP(B56,'Literacy Rate'!B54:C261,2,0)</f>
        <v>..</v>
      </c>
      <c r="D56">
        <f>VLOOKUP(B56,'Life expectancy index'!B54:C261,2,0)</f>
        <v>0.88500000000000001</v>
      </c>
      <c r="E56">
        <f>VLOOKUP(A56,'Internet users, total (% of pop'!B54:C265,2,0)</f>
        <v>80.7</v>
      </c>
      <c r="F56">
        <f>VLOOKUP(B56,'Income Index'!B54:C261,2,0)</f>
        <v>0.872</v>
      </c>
      <c r="G56">
        <f>VLOOKUP(A56,'Human Development Index (HDI)	'!B54:C259,2,0)</f>
        <v>0.86</v>
      </c>
      <c r="H56">
        <f>VLOOKUP(B56,'Government expenditure on educa'!B54:C262,2,0)</f>
        <v>3.9</v>
      </c>
      <c r="I56">
        <f>VLOOKUP(B56,'GDP per capita (2017 PPP $)'!B54:C262,2,0)</f>
        <v>32793</v>
      </c>
      <c r="J56">
        <f>VLOOKUP(B56,'Forest area (% of total land ar'!B54:C264,2,0)</f>
        <v>40.4</v>
      </c>
      <c r="L56" t="s">
        <v>22</v>
      </c>
      <c r="M56">
        <v>391676</v>
      </c>
      <c r="N56">
        <v>7176.35</v>
      </c>
      <c r="O56">
        <v>186</v>
      </c>
      <c r="P56">
        <v>3.41</v>
      </c>
      <c r="Q56">
        <v>17</v>
      </c>
      <c r="R56">
        <v>12511</v>
      </c>
      <c r="S56">
        <v>229.23</v>
      </c>
      <c r="T56">
        <v>6</v>
      </c>
      <c r="U56">
        <v>0.11</v>
      </c>
      <c r="V56">
        <v>0</v>
      </c>
      <c r="W56" t="s">
        <v>19</v>
      </c>
    </row>
    <row r="57" spans="1:23" x14ac:dyDescent="0.35">
      <c r="A57" t="s">
        <v>76</v>
      </c>
      <c r="B57" t="str">
        <f t="shared" si="0"/>
        <v>Uruguay</v>
      </c>
      <c r="C57">
        <f>VLOOKUP(B57,'Literacy Rate'!B55:C262,2,0)</f>
        <v>98.7</v>
      </c>
      <c r="D57">
        <f>VLOOKUP(B57,'Life expectancy index'!B55:C262,2,0)</f>
        <v>0.89100000000000001</v>
      </c>
      <c r="E57">
        <f>VLOOKUP(A57,'Internet users, total (% of pop'!B55:C266,2,0)</f>
        <v>68.3</v>
      </c>
      <c r="F57">
        <f>VLOOKUP(B57,'Income Index'!B55:C262,2,0)</f>
        <v>0.80100000000000005</v>
      </c>
      <c r="G57">
        <f>VLOOKUP(A57,'Human Development Index (HDI)	'!B55:C260,2,0)</f>
        <v>0.81699999999999995</v>
      </c>
      <c r="H57">
        <f>VLOOKUP(B57,'Government expenditure on educa'!B55:C263,2,0)</f>
        <v>4.8</v>
      </c>
      <c r="I57">
        <f>VLOOKUP(B57,'GDP per capita (2017 PPP $)'!B55:C263,2,0)</f>
        <v>21561</v>
      </c>
      <c r="J57">
        <f>VLOOKUP(B57,'Forest area (% of total land ar'!B55:C265,2,0)</f>
        <v>10.7</v>
      </c>
      <c r="L57" t="s">
        <v>15</v>
      </c>
      <c r="M57">
        <v>369350</v>
      </c>
      <c r="N57">
        <v>10632.66</v>
      </c>
      <c r="O57">
        <v>9103</v>
      </c>
      <c r="P57">
        <v>262.05</v>
      </c>
      <c r="Q57">
        <v>1172</v>
      </c>
      <c r="R57">
        <v>5593</v>
      </c>
      <c r="S57">
        <v>161.01</v>
      </c>
      <c r="T57">
        <v>219</v>
      </c>
      <c r="U57">
        <v>6.3</v>
      </c>
      <c r="V57">
        <v>35</v>
      </c>
      <c r="W57" t="s">
        <v>16</v>
      </c>
    </row>
    <row r="58" spans="1:23" x14ac:dyDescent="0.35">
      <c r="A58" t="s">
        <v>77</v>
      </c>
      <c r="B58" t="str">
        <f t="shared" si="0"/>
        <v>Georgia</v>
      </c>
      <c r="C58">
        <v>99.4</v>
      </c>
      <c r="D58">
        <f>VLOOKUP(B58,'Life expectancy index'!B56:C263,2,0)</f>
        <v>0.82699999999999996</v>
      </c>
      <c r="E58">
        <f>VLOOKUP(A58,'Internet users, total (% of pop'!B56:C267,2,0)</f>
        <v>64</v>
      </c>
      <c r="F58">
        <f>VLOOKUP(B58,'Income Index'!B56:C263,2,0)</f>
        <v>0.751</v>
      </c>
      <c r="G58">
        <f>VLOOKUP(A58,'Human Development Index (HDI)	'!B56:C261,2,0)</f>
        <v>0.81200000000000006</v>
      </c>
      <c r="H58">
        <f>VLOOKUP(B58,'Government expenditure on educa'!B56:C264,2,0)</f>
        <v>3.9</v>
      </c>
      <c r="I58">
        <f>VLOOKUP(B58,'GDP per capita (2017 PPP $)'!B56:C264,2,0)</f>
        <v>15014</v>
      </c>
      <c r="J58">
        <f>VLOOKUP(B58,'Forest area (% of total land ar'!B56:C266,2,0)</f>
        <v>40.6</v>
      </c>
      <c r="L58" t="s">
        <v>22</v>
      </c>
      <c r="M58">
        <v>368022</v>
      </c>
      <c r="N58">
        <v>9225.52</v>
      </c>
      <c r="O58">
        <v>5839</v>
      </c>
      <c r="P58">
        <v>146.37</v>
      </c>
      <c r="Q58">
        <v>964</v>
      </c>
      <c r="R58">
        <v>5335</v>
      </c>
      <c r="S58">
        <v>133.74</v>
      </c>
      <c r="T58">
        <v>98</v>
      </c>
      <c r="U58">
        <v>2.46</v>
      </c>
      <c r="V58">
        <v>8</v>
      </c>
      <c r="W58" t="s">
        <v>16</v>
      </c>
    </row>
    <row r="59" spans="1:23" x14ac:dyDescent="0.35">
      <c r="A59" t="s">
        <v>78</v>
      </c>
      <c r="B59" t="str">
        <f t="shared" si="0"/>
        <v>Costa Rica</v>
      </c>
      <c r="C59">
        <v>97.9</v>
      </c>
      <c r="D59">
        <v>0.92700000000000005</v>
      </c>
      <c r="E59">
        <v>74.099999999999994</v>
      </c>
      <c r="F59">
        <v>0.78800000000000003</v>
      </c>
      <c r="G59">
        <v>0.81</v>
      </c>
      <c r="H59">
        <v>7</v>
      </c>
      <c r="I59">
        <v>19642</v>
      </c>
      <c r="J59">
        <v>54.6</v>
      </c>
      <c r="L59" t="s">
        <v>15</v>
      </c>
      <c r="M59">
        <v>367938</v>
      </c>
      <c r="N59">
        <v>7222.8</v>
      </c>
      <c r="O59">
        <v>10415</v>
      </c>
      <c r="P59">
        <v>204.45</v>
      </c>
      <c r="Q59">
        <v>1777</v>
      </c>
      <c r="R59">
        <v>4667</v>
      </c>
      <c r="S59">
        <v>91.62</v>
      </c>
      <c r="T59">
        <v>100</v>
      </c>
      <c r="U59">
        <v>1.96</v>
      </c>
      <c r="V59">
        <v>6</v>
      </c>
      <c r="W59" t="s">
        <v>16</v>
      </c>
    </row>
    <row r="60" spans="1:23" x14ac:dyDescent="0.35">
      <c r="A60" t="s">
        <v>79</v>
      </c>
      <c r="B60" t="str">
        <f t="shared" si="0"/>
        <v>Croatia</v>
      </c>
      <c r="C60">
        <v>99.1</v>
      </c>
      <c r="D60">
        <v>0.9</v>
      </c>
      <c r="E60">
        <v>72.7</v>
      </c>
      <c r="F60">
        <v>0.85199999999999998</v>
      </c>
      <c r="G60">
        <v>0.85099999999999998</v>
      </c>
      <c r="H60">
        <v>4.5999999999999996</v>
      </c>
      <c r="I60">
        <v>28509</v>
      </c>
      <c r="J60">
        <v>34.4</v>
      </c>
      <c r="L60" t="s">
        <v>22</v>
      </c>
      <c r="M60">
        <v>360067</v>
      </c>
      <c r="N60">
        <v>8872.66</v>
      </c>
      <c r="O60">
        <v>546</v>
      </c>
      <c r="P60">
        <v>13.45</v>
      </c>
      <c r="Q60">
        <v>92</v>
      </c>
      <c r="R60">
        <v>8212</v>
      </c>
      <c r="S60">
        <v>202.36</v>
      </c>
      <c r="T60">
        <v>16</v>
      </c>
      <c r="U60">
        <v>0.39</v>
      </c>
      <c r="V60">
        <v>3</v>
      </c>
      <c r="W60" t="s">
        <v>16</v>
      </c>
    </row>
    <row r="61" spans="1:23" x14ac:dyDescent="0.35">
      <c r="A61" t="s">
        <v>80</v>
      </c>
      <c r="B61" t="str">
        <f t="shared" si="0"/>
        <v>Kuwait</v>
      </c>
      <c r="C61">
        <f>VLOOKUP(B61,'Literacy Rate'!B59:C266,2,0)</f>
        <v>96.1</v>
      </c>
      <c r="D61">
        <f>VLOOKUP(B61,'Life expectancy index'!B59:C266,2,0)</f>
        <v>0.85399999999999998</v>
      </c>
      <c r="E61">
        <f>VLOOKUP(A61,'Internet users, total (% of pop'!B59:C270,2,0)</f>
        <v>99.6</v>
      </c>
      <c r="F61">
        <f>VLOOKUP(B61,'Income Index'!B59:C266,2,0)</f>
        <v>0.96299999999999997</v>
      </c>
      <c r="G61">
        <f>VLOOKUP(A61,'Human Development Index (HDI)	'!B59:C264,2,0)</f>
        <v>0.80600000000000005</v>
      </c>
      <c r="H61" t="str">
        <f>VLOOKUP(B61,'Government expenditure on educa'!B59:C267,2,0)</f>
        <v>..</v>
      </c>
      <c r="I61">
        <f>VLOOKUP(B61,'GDP per capita (2017 PPP $)'!B59:C267,2,0)</f>
        <v>49846</v>
      </c>
      <c r="J61">
        <f>VLOOKUP(B61,'Forest area (% of total land ar'!B59:C269,2,0)</f>
        <v>0.4</v>
      </c>
      <c r="L61" t="s">
        <v>32</v>
      </c>
      <c r="M61">
        <v>356687</v>
      </c>
      <c r="N61">
        <v>8352.2099999999991</v>
      </c>
      <c r="O61">
        <v>11888</v>
      </c>
      <c r="P61">
        <v>278.37</v>
      </c>
      <c r="Q61">
        <v>1836</v>
      </c>
      <c r="R61">
        <v>1969</v>
      </c>
      <c r="S61">
        <v>46.11</v>
      </c>
      <c r="T61">
        <v>75</v>
      </c>
      <c r="U61">
        <v>1.76</v>
      </c>
      <c r="V61">
        <v>8</v>
      </c>
      <c r="W61" t="s">
        <v>16</v>
      </c>
    </row>
    <row r="62" spans="1:23" x14ac:dyDescent="0.35">
      <c r="A62" t="s">
        <v>81</v>
      </c>
      <c r="B62" t="str">
        <f t="shared" si="0"/>
        <v>occupied Palestinian territory, including east Jerusalem</v>
      </c>
      <c r="C62" t="e">
        <f>VLOOKUP(B62,'Literacy Rate'!B60:C267,2,0)</f>
        <v>#N/A</v>
      </c>
      <c r="D62" t="e">
        <f>VLOOKUP(B62,'Life expectancy index'!B60:C267,2,0)</f>
        <v>#N/A</v>
      </c>
      <c r="E62" t="e">
        <f>VLOOKUP(A62,'Internet users, total (% of pop'!B60:C271,2,0)</f>
        <v>#N/A</v>
      </c>
      <c r="F62" t="e">
        <f>VLOOKUP(B62,'Income Index'!B60:C267,2,0)</f>
        <v>#N/A</v>
      </c>
      <c r="G62" t="e">
        <f>VLOOKUP(A62,'Human Development Index (HDI)	'!B60:C265,2,0)</f>
        <v>#N/A</v>
      </c>
      <c r="H62" t="e">
        <f>VLOOKUP(B62,'Government expenditure on educa'!B60:C268,2,0)</f>
        <v>#N/A</v>
      </c>
      <c r="I62" t="e">
        <f>VLOOKUP(B62,'GDP per capita (2017 PPP $)'!B60:C268,2,0)</f>
        <v>#N/A</v>
      </c>
      <c r="J62" t="e">
        <f>VLOOKUP(B62,'Forest area (% of total land ar'!B60:C270,2,0)</f>
        <v>#N/A</v>
      </c>
      <c r="L62" t="s">
        <v>32</v>
      </c>
      <c r="M62">
        <v>343008</v>
      </c>
      <c r="N62">
        <v>6723.78</v>
      </c>
      <c r="O62">
        <v>976</v>
      </c>
      <c r="P62">
        <v>19.13</v>
      </c>
      <c r="Q62">
        <v>153</v>
      </c>
      <c r="R62">
        <v>3831</v>
      </c>
      <c r="S62">
        <v>75.099999999999994</v>
      </c>
      <c r="T62">
        <v>8</v>
      </c>
      <c r="U62">
        <v>0.16</v>
      </c>
      <c r="V62">
        <v>1</v>
      </c>
      <c r="W62" t="s">
        <v>16</v>
      </c>
    </row>
    <row r="63" spans="1:23" x14ac:dyDescent="0.35">
      <c r="A63" t="s">
        <v>82</v>
      </c>
      <c r="B63" t="str">
        <f t="shared" si="0"/>
        <v>Azerbaijan</v>
      </c>
      <c r="C63" t="e">
        <f>VLOOKUP(B63,'Literacy Rate'!B61:C268,2,0)</f>
        <v>#N/A</v>
      </c>
      <c r="D63" t="e">
        <f>VLOOKUP(B63,'Life expectancy index'!B61:C268,2,0)</f>
        <v>#N/A</v>
      </c>
      <c r="E63" t="e">
        <f>VLOOKUP(A63,'Internet users, total (% of pop'!B61:C272,2,0)</f>
        <v>#N/A</v>
      </c>
      <c r="F63" t="e">
        <f>VLOOKUP(B63,'Income Index'!B61:C268,2,0)</f>
        <v>#N/A</v>
      </c>
      <c r="G63" t="e">
        <f>VLOOKUP(A63,'Human Development Index (HDI)	'!B61:C266,2,0)</f>
        <v>#N/A</v>
      </c>
      <c r="H63" t="e">
        <f>VLOOKUP(B63,'Government expenditure on educa'!B61:C269,2,0)</f>
        <v>#N/A</v>
      </c>
      <c r="I63" t="e">
        <f>VLOOKUP(B63,'GDP per capita (2017 PPP $)'!B61:C269,2,0)</f>
        <v>#N/A</v>
      </c>
      <c r="J63" t="e">
        <f>VLOOKUP(B63,'Forest area (% of total land ar'!B61:C271,2,0)</f>
        <v>#N/A</v>
      </c>
      <c r="L63" t="s">
        <v>22</v>
      </c>
      <c r="M63">
        <v>336122</v>
      </c>
      <c r="N63">
        <v>3315.08</v>
      </c>
      <c r="O63">
        <v>446</v>
      </c>
      <c r="P63">
        <v>4.4000000000000004</v>
      </c>
      <c r="Q63">
        <v>75</v>
      </c>
      <c r="R63">
        <v>4975</v>
      </c>
      <c r="S63">
        <v>49.07</v>
      </c>
      <c r="T63">
        <v>10</v>
      </c>
      <c r="U63">
        <v>0.1</v>
      </c>
      <c r="V63">
        <v>1</v>
      </c>
      <c r="W63" t="s">
        <v>19</v>
      </c>
    </row>
    <row r="64" spans="1:23" x14ac:dyDescent="0.35">
      <c r="A64" t="s">
        <v>83</v>
      </c>
      <c r="B64" t="str">
        <f t="shared" si="0"/>
        <v>Dominican Republic</v>
      </c>
      <c r="C64" t="e">
        <f>VLOOKUP(B64,'Literacy Rate'!B62:C269,2,0)</f>
        <v>#N/A</v>
      </c>
      <c r="D64" t="e">
        <f>VLOOKUP(B64,'Life expectancy index'!B62:C269,2,0)</f>
        <v>#N/A</v>
      </c>
      <c r="E64" t="e">
        <f>VLOOKUP(A64,'Internet users, total (% of pop'!B62:C273,2,0)</f>
        <v>#N/A</v>
      </c>
      <c r="F64" t="e">
        <f>VLOOKUP(B64,'Income Index'!B62:C269,2,0)</f>
        <v>#N/A</v>
      </c>
      <c r="G64" t="e">
        <f>VLOOKUP(A64,'Human Development Index (HDI)	'!B62:C267,2,0)</f>
        <v>#N/A</v>
      </c>
      <c r="H64" t="e">
        <f>VLOOKUP(B64,'Government expenditure on educa'!B62:C270,2,0)</f>
        <v>#N/A</v>
      </c>
      <c r="I64" t="e">
        <f>VLOOKUP(B64,'GDP per capita (2017 PPP $)'!B62:C270,2,0)</f>
        <v>#N/A</v>
      </c>
      <c r="J64" t="e">
        <f>VLOOKUP(B64,'Forest area (% of total land ar'!B62:C272,2,0)</f>
        <v>#N/A</v>
      </c>
      <c r="L64" t="s">
        <v>15</v>
      </c>
      <c r="M64">
        <v>326193</v>
      </c>
      <c r="N64">
        <v>3006.97</v>
      </c>
      <c r="O64">
        <v>6057</v>
      </c>
      <c r="P64">
        <v>55.84</v>
      </c>
      <c r="Q64">
        <v>972</v>
      </c>
      <c r="R64">
        <v>3840</v>
      </c>
      <c r="S64">
        <v>35.4</v>
      </c>
      <c r="T64">
        <v>59</v>
      </c>
      <c r="U64">
        <v>0.54</v>
      </c>
      <c r="V64">
        <v>18</v>
      </c>
      <c r="W64" t="s">
        <v>16</v>
      </c>
    </row>
    <row r="65" spans="1:23" x14ac:dyDescent="0.35">
      <c r="A65" t="s">
        <v>84</v>
      </c>
      <c r="B65" t="str">
        <f t="shared" si="0"/>
        <v>Guatemala</v>
      </c>
      <c r="C65" t="e">
        <f>VLOOKUP(B65,'Literacy Rate'!B63:C270,2,0)</f>
        <v>#N/A</v>
      </c>
      <c r="D65">
        <f>VLOOKUP(B65,'Life expectancy index'!B63:C270,2,0)</f>
        <v>0.83499999999999996</v>
      </c>
      <c r="E65">
        <f>VLOOKUP(A65,'Internet users, total (% of pop'!B63:C274,2,0)</f>
        <v>65</v>
      </c>
      <c r="F65">
        <f>VLOOKUP(B65,'Income Index'!B63:C270,2,0)</f>
        <v>0.67100000000000004</v>
      </c>
      <c r="G65">
        <f>VLOOKUP(A65,'Human Development Index (HDI)	'!B63:C268,2,0)</f>
        <v>0.66300000000000003</v>
      </c>
      <c r="H65">
        <f>VLOOKUP(B65,'Government expenditure on educa'!B63:C271,2,0)</f>
        <v>2.9</v>
      </c>
      <c r="I65">
        <f>VLOOKUP(B65,'GDP per capita (2017 PPP $)'!B63:C271,2,0)</f>
        <v>8638</v>
      </c>
      <c r="J65">
        <f>VLOOKUP(B65,'Forest area (% of total land ar'!B63:C273,2,0)</f>
        <v>32.700000000000003</v>
      </c>
      <c r="L65" t="s">
        <v>15</v>
      </c>
      <c r="M65">
        <v>296438</v>
      </c>
      <c r="N65">
        <v>1654.64</v>
      </c>
      <c r="O65">
        <v>9730</v>
      </c>
      <c r="P65">
        <v>54.31</v>
      </c>
      <c r="Q65">
        <v>2855</v>
      </c>
      <c r="R65">
        <v>9282</v>
      </c>
      <c r="S65">
        <v>51.81</v>
      </c>
      <c r="T65">
        <v>388</v>
      </c>
      <c r="U65">
        <v>2.17</v>
      </c>
      <c r="V65">
        <v>67</v>
      </c>
      <c r="W65" t="s">
        <v>16</v>
      </c>
    </row>
    <row r="66" spans="1:23" x14ac:dyDescent="0.35">
      <c r="A66" t="s">
        <v>85</v>
      </c>
      <c r="B66" t="str">
        <f t="shared" si="0"/>
        <v>Denmark</v>
      </c>
      <c r="C66" t="str">
        <f>VLOOKUP(B66,'Literacy Rate'!B64:C271,2,0)</f>
        <v>..</v>
      </c>
      <c r="D66" t="e">
        <f>VLOOKUP(B66,'Life expectancy index'!B64:C271,2,0)</f>
        <v>#N/A</v>
      </c>
      <c r="E66" t="e">
        <f>VLOOKUP(A66,'Internet users, total (% of pop'!B64:C275,2,0)</f>
        <v>#N/A</v>
      </c>
      <c r="F66" t="e">
        <f>VLOOKUP(B66,'Income Index'!B64:C271,2,0)</f>
        <v>#N/A</v>
      </c>
      <c r="G66" t="e">
        <f>VLOOKUP(A66,'Human Development Index (HDI)	'!B64:C269,2,0)</f>
        <v>#N/A</v>
      </c>
      <c r="H66" t="e">
        <f>VLOOKUP(B66,'Government expenditure on educa'!B64:C272,2,0)</f>
        <v>#N/A</v>
      </c>
      <c r="I66" t="e">
        <f>VLOOKUP(B66,'GDP per capita (2017 PPP $)'!B64:C272,2,0)</f>
        <v>#N/A</v>
      </c>
      <c r="J66" t="e">
        <f>VLOOKUP(B66,'Forest area (% of total land ar'!B64:C274,2,0)</f>
        <v>#N/A</v>
      </c>
      <c r="L66" t="s">
        <v>22</v>
      </c>
      <c r="M66">
        <v>294152</v>
      </c>
      <c r="N66">
        <v>5051.76</v>
      </c>
      <c r="O66">
        <v>1800</v>
      </c>
      <c r="P66">
        <v>30.91</v>
      </c>
      <c r="Q66">
        <v>475</v>
      </c>
      <c r="R66">
        <v>2535</v>
      </c>
      <c r="S66">
        <v>43.54</v>
      </c>
      <c r="T66">
        <v>4</v>
      </c>
      <c r="U66">
        <v>7.0000000000000007E-2</v>
      </c>
      <c r="V66">
        <v>1</v>
      </c>
      <c r="W66" t="s">
        <v>16</v>
      </c>
    </row>
    <row r="67" spans="1:23" x14ac:dyDescent="0.35">
      <c r="A67" t="s">
        <v>86</v>
      </c>
      <c r="B67" t="str">
        <f t="shared" si="0"/>
        <v>Egypt</v>
      </c>
      <c r="C67" t="e">
        <f>VLOOKUP(B67,'Literacy Rate'!B65:C272,2,0)</f>
        <v>#N/A</v>
      </c>
      <c r="D67" t="e">
        <f>VLOOKUP(B67,'Life expectancy index'!B65:C272,2,0)</f>
        <v>#N/A</v>
      </c>
      <c r="E67" t="e">
        <f>VLOOKUP(A67,'Internet users, total (% of pop'!B65:C276,2,0)</f>
        <v>#N/A</v>
      </c>
      <c r="F67" t="e">
        <f>VLOOKUP(B67,'Income Index'!B65:C272,2,0)</f>
        <v>#N/A</v>
      </c>
      <c r="G67" t="e">
        <f>VLOOKUP(A67,'Human Development Index (HDI)	'!B65:C270,2,0)</f>
        <v>#N/A</v>
      </c>
      <c r="H67" t="e">
        <f>VLOOKUP(B67,'Government expenditure on educa'!B65:C273,2,0)</f>
        <v>#N/A</v>
      </c>
      <c r="I67" t="e">
        <f>VLOOKUP(B67,'GDP per capita (2017 PPP $)'!B65:C273,2,0)</f>
        <v>#N/A</v>
      </c>
      <c r="J67" t="e">
        <f>VLOOKUP(B67,'Forest area (% of total land ar'!B65:C275,2,0)</f>
        <v>#N/A</v>
      </c>
      <c r="L67" t="s">
        <v>32</v>
      </c>
      <c r="M67">
        <v>281282</v>
      </c>
      <c r="N67">
        <v>274.87</v>
      </c>
      <c r="O67">
        <v>2521</v>
      </c>
      <c r="P67">
        <v>2.46</v>
      </c>
      <c r="Q67">
        <v>251</v>
      </c>
      <c r="R67">
        <v>16169</v>
      </c>
      <c r="S67">
        <v>15.8</v>
      </c>
      <c r="T67">
        <v>202</v>
      </c>
      <c r="U67">
        <v>0.2</v>
      </c>
      <c r="V67">
        <v>21</v>
      </c>
      <c r="W67" t="s">
        <v>19</v>
      </c>
    </row>
    <row r="68" spans="1:23" x14ac:dyDescent="0.35">
      <c r="A68" t="s">
        <v>87</v>
      </c>
      <c r="B68" t="str">
        <f t="shared" ref="B68:B131" si="1">TRIM(A68)</f>
        <v>Lithuania</v>
      </c>
      <c r="C68">
        <f>VLOOKUP(B68,'Literacy Rate'!B66:C273,2,0)</f>
        <v>99.8</v>
      </c>
      <c r="D68">
        <f>VLOOKUP(B68,'Life expectancy index'!B66:C273,2,0)</f>
        <v>0.86</v>
      </c>
      <c r="E68">
        <f>VLOOKUP(A68,'Internet users, total (% of pop'!B66:C277,2,0)</f>
        <v>79.7</v>
      </c>
      <c r="F68">
        <f>VLOOKUP(B68,'Income Index'!B66:C273,2,0)</f>
        <v>0.88800000000000001</v>
      </c>
      <c r="G68">
        <f>VLOOKUP(A68,'Human Development Index (HDI)	'!B66:C271,2,0)</f>
        <v>0.88200000000000001</v>
      </c>
      <c r="H68">
        <f>VLOOKUP(B68,'Government expenditure on educa'!B66:C274,2,0)</f>
        <v>4</v>
      </c>
      <c r="I68">
        <f>VLOOKUP(B68,'GDP per capita (2017 PPP $)'!B66:C274,2,0)</f>
        <v>36975</v>
      </c>
      <c r="J68">
        <f>VLOOKUP(B68,'Forest area (% of total land ar'!B66:C276,2,0)</f>
        <v>34.799999999999997</v>
      </c>
      <c r="L68" t="s">
        <v>22</v>
      </c>
      <c r="M68">
        <v>278826</v>
      </c>
      <c r="N68">
        <v>9979.1299999999992</v>
      </c>
      <c r="O68">
        <v>218</v>
      </c>
      <c r="P68">
        <v>7.8</v>
      </c>
      <c r="Q68">
        <v>17</v>
      </c>
      <c r="R68">
        <v>4387</v>
      </c>
      <c r="S68">
        <v>157.01</v>
      </c>
      <c r="T68">
        <v>9</v>
      </c>
      <c r="U68">
        <v>0.32</v>
      </c>
      <c r="V68">
        <v>3</v>
      </c>
      <c r="W68" t="s">
        <v>16</v>
      </c>
    </row>
    <row r="69" spans="1:23" x14ac:dyDescent="0.35">
      <c r="A69" t="s">
        <v>88</v>
      </c>
      <c r="B69" t="str">
        <f t="shared" si="1"/>
        <v>Ethiopia</v>
      </c>
      <c r="C69" t="e">
        <f>VLOOKUP(B69,'Literacy Rate'!B67:C274,2,0)</f>
        <v>#N/A</v>
      </c>
      <c r="D69" t="e">
        <f>VLOOKUP(B69,'Life expectancy index'!B67:C274,2,0)</f>
        <v>#N/A</v>
      </c>
      <c r="E69" t="e">
        <f>VLOOKUP(A69,'Internet users, total (% of pop'!B67:C278,2,0)</f>
        <v>#N/A</v>
      </c>
      <c r="F69" t="e">
        <f>VLOOKUP(B69,'Income Index'!B67:C274,2,0)</f>
        <v>#N/A</v>
      </c>
      <c r="G69" t="e">
        <f>VLOOKUP(A69,'Human Development Index (HDI)	'!B67:C272,2,0)</f>
        <v>#N/A</v>
      </c>
      <c r="H69" t="e">
        <f>VLOOKUP(B69,'Government expenditure on educa'!B67:C275,2,0)</f>
        <v>#N/A</v>
      </c>
      <c r="I69" t="e">
        <f>VLOOKUP(B69,'GDP per capita (2017 PPP $)'!B67:C275,2,0)</f>
        <v>#N/A</v>
      </c>
      <c r="J69" t="e">
        <f>VLOOKUP(B69,'Forest area (% of total land ar'!B67:C277,2,0)</f>
        <v>#N/A</v>
      </c>
      <c r="L69" t="s">
        <v>39</v>
      </c>
      <c r="M69">
        <v>276250</v>
      </c>
      <c r="N69">
        <v>240.29</v>
      </c>
      <c r="O69">
        <v>649</v>
      </c>
      <c r="P69">
        <v>0.56000000000000005</v>
      </c>
      <c r="Q69">
        <v>213</v>
      </c>
      <c r="R69">
        <v>4325</v>
      </c>
      <c r="S69">
        <v>3.76</v>
      </c>
      <c r="T69">
        <v>29</v>
      </c>
      <c r="U69">
        <v>0.03</v>
      </c>
      <c r="V69">
        <v>5</v>
      </c>
      <c r="W69" t="s">
        <v>16</v>
      </c>
    </row>
    <row r="70" spans="1:23" x14ac:dyDescent="0.35">
      <c r="A70" t="s">
        <v>89</v>
      </c>
      <c r="B70" t="str">
        <f t="shared" si="1"/>
        <v>Ireland</v>
      </c>
      <c r="C70" t="str">
        <f>VLOOKUP(B70,'Literacy Rate'!B68:C275,2,0)</f>
        <v>..</v>
      </c>
      <c r="D70">
        <f>VLOOKUP(B70,'Life expectancy index'!B68:C275,2,0)</f>
        <v>0.95899999999999996</v>
      </c>
      <c r="E70">
        <f>VLOOKUP(A70,'Internet users, total (% of pop'!B68:C279,2,0)</f>
        <v>84.5</v>
      </c>
      <c r="F70">
        <f>VLOOKUP(B70,'Income Index'!B68:C275,2,0)</f>
        <v>0.98599999999999999</v>
      </c>
      <c r="G70">
        <f>VLOOKUP(A70,'Human Development Index (HDI)	'!B68:C273,2,0)</f>
        <v>0.95499999999999996</v>
      </c>
      <c r="H70">
        <f>VLOOKUP(B70,'Government expenditure on educa'!B68:C276,2,0)</f>
        <v>3.7</v>
      </c>
      <c r="I70">
        <f>VLOOKUP(B70,'GDP per capita (2017 PPP $)'!B68:C276,2,0)</f>
        <v>86781</v>
      </c>
      <c r="J70">
        <f>VLOOKUP(B70,'Forest area (% of total land ar'!B68:C278,2,0)</f>
        <v>11</v>
      </c>
      <c r="L70" t="s">
        <v>22</v>
      </c>
      <c r="M70">
        <v>272784</v>
      </c>
      <c r="N70">
        <v>5494.76</v>
      </c>
      <c r="O70">
        <v>2719</v>
      </c>
      <c r="P70">
        <v>54.77</v>
      </c>
      <c r="Q70">
        <v>448</v>
      </c>
      <c r="R70">
        <v>5000</v>
      </c>
      <c r="S70">
        <v>100.72</v>
      </c>
      <c r="T70">
        <v>11</v>
      </c>
      <c r="U70">
        <v>0.22</v>
      </c>
      <c r="V70">
        <v>2</v>
      </c>
      <c r="W70" t="s">
        <v>16</v>
      </c>
    </row>
    <row r="71" spans="1:23" x14ac:dyDescent="0.35">
      <c r="A71" t="s">
        <v>90</v>
      </c>
      <c r="B71" t="str">
        <f t="shared" si="1"/>
        <v>Venezuela (Bolivarian Republic of)</v>
      </c>
      <c r="C71">
        <f>VLOOKUP(B71,'Literacy Rate'!B69:C276,2,0)</f>
        <v>97.1</v>
      </c>
      <c r="D71">
        <f>VLOOKUP(B71,'Life expectancy index'!B69:C276,2,0)</f>
        <v>0.80100000000000005</v>
      </c>
      <c r="E71">
        <f>VLOOKUP(A71,'Internet users, total (% of pop'!B69:C280,2,0)</f>
        <v>72</v>
      </c>
      <c r="F71">
        <f>VLOOKUP(B71,'Income Index'!B69:C276,2,0)</f>
        <v>0.64300000000000002</v>
      </c>
      <c r="G71">
        <f>VLOOKUP(A71,'Human Development Index (HDI)	'!B69:C274,2,0)</f>
        <v>0.71099999999999997</v>
      </c>
      <c r="H71" t="str">
        <f>VLOOKUP(B71,'Government expenditure on educa'!B69:C277,2,0)</f>
        <v>..</v>
      </c>
      <c r="I71" t="str">
        <f>VLOOKUP(B71,'GDP per capita (2017 PPP $)'!B69:C277,2,0)</f>
        <v>..</v>
      </c>
      <c r="J71">
        <f>VLOOKUP(B71,'Forest area (% of total land ar'!B69:C279,2,0)</f>
        <v>52.7</v>
      </c>
      <c r="L71" t="s">
        <v>15</v>
      </c>
      <c r="M71">
        <v>272712</v>
      </c>
      <c r="N71">
        <v>959.04</v>
      </c>
      <c r="O71">
        <v>8161</v>
      </c>
      <c r="P71">
        <v>28.7</v>
      </c>
      <c r="Q71">
        <v>1033</v>
      </c>
      <c r="R71">
        <v>3119</v>
      </c>
      <c r="S71">
        <v>10.97</v>
      </c>
      <c r="T71">
        <v>112</v>
      </c>
      <c r="U71">
        <v>0.39</v>
      </c>
      <c r="V71">
        <v>18</v>
      </c>
      <c r="W71" t="s">
        <v>16</v>
      </c>
    </row>
    <row r="72" spans="1:23" x14ac:dyDescent="0.35">
      <c r="A72" t="s">
        <v>91</v>
      </c>
      <c r="B72" t="str">
        <f t="shared" si="1"/>
        <v>Thailand</v>
      </c>
      <c r="C72">
        <f>VLOOKUP(B72,'Literacy Rate'!B70:C277,2,0)</f>
        <v>93.8</v>
      </c>
      <c r="D72">
        <f>VLOOKUP(B72,'Life expectancy index'!B70:C277,2,0)</f>
        <v>0.879</v>
      </c>
      <c r="E72">
        <f>VLOOKUP(A72,'Internet users, total (% of pop'!B70:C281,2,0)</f>
        <v>56.8</v>
      </c>
      <c r="F72">
        <f>VLOOKUP(B72,'Income Index'!B70:C277,2,0)</f>
        <v>0.78300000000000003</v>
      </c>
      <c r="G72">
        <f>VLOOKUP(A72,'Human Development Index (HDI)	'!B70:C275,2,0)</f>
        <v>0.77700000000000002</v>
      </c>
      <c r="H72">
        <f>VLOOKUP(B72,'Government expenditure on educa'!B70:C278,2,0)</f>
        <v>4.0999999999999996</v>
      </c>
      <c r="I72">
        <f>VLOOKUP(B72,'GDP per capita (2017 PPP $)'!B70:C278,2,0)</f>
        <v>18463</v>
      </c>
      <c r="J72">
        <f>VLOOKUP(B72,'Forest area (% of total land ar'!B70:C280,2,0)</f>
        <v>32.200000000000003</v>
      </c>
      <c r="L72" t="s">
        <v>18</v>
      </c>
      <c r="M72">
        <v>270921</v>
      </c>
      <c r="N72">
        <v>388.14</v>
      </c>
      <c r="O72">
        <v>34630</v>
      </c>
      <c r="P72">
        <v>49.61</v>
      </c>
      <c r="Q72">
        <v>6087</v>
      </c>
      <c r="R72">
        <v>2141</v>
      </c>
      <c r="S72">
        <v>3.07</v>
      </c>
      <c r="T72">
        <v>322</v>
      </c>
      <c r="U72">
        <v>0.46</v>
      </c>
      <c r="V72">
        <v>61</v>
      </c>
      <c r="W72" t="s">
        <v>19</v>
      </c>
    </row>
    <row r="73" spans="1:23" x14ac:dyDescent="0.35">
      <c r="A73" t="s">
        <v>92</v>
      </c>
      <c r="B73" t="str">
        <f t="shared" si="1"/>
        <v>Oman</v>
      </c>
      <c r="C73">
        <f>VLOOKUP(B73,'Literacy Rate'!B71:C278,2,0)</f>
        <v>95.7</v>
      </c>
      <c r="D73">
        <f>VLOOKUP(B73,'Life expectancy index'!B71:C278,2,0)</f>
        <v>0.89</v>
      </c>
      <c r="E73">
        <f>VLOOKUP(A73,'Internet users, total (% of pop'!B71:C282,2,0)</f>
        <v>80.2</v>
      </c>
      <c r="F73">
        <f>VLOOKUP(B73,'Income Index'!B71:C278,2,0)</f>
        <v>0.84</v>
      </c>
      <c r="G73">
        <f>VLOOKUP(A73,'Human Development Index (HDI)	'!B71:C276,2,0)</f>
        <v>0.81299999999999994</v>
      </c>
      <c r="H73">
        <f>VLOOKUP(B73,'Government expenditure on educa'!B71:C279,2,0)</f>
        <v>5</v>
      </c>
      <c r="I73">
        <f>VLOOKUP(B73,'GDP per capita (2017 PPP $)'!B71:C279,2,0)</f>
        <v>27896</v>
      </c>
      <c r="J73">
        <f>VLOOKUP(B73,'Forest area (% of total land ar'!B71:C281,2,0)</f>
        <v>0</v>
      </c>
      <c r="L73" t="s">
        <v>32</v>
      </c>
      <c r="M73">
        <v>268545</v>
      </c>
      <c r="N73">
        <v>5258.76</v>
      </c>
      <c r="O73">
        <v>13889</v>
      </c>
      <c r="P73">
        <v>271.98</v>
      </c>
      <c r="Q73">
        <v>2009</v>
      </c>
      <c r="R73">
        <v>3100</v>
      </c>
      <c r="S73">
        <v>60.71</v>
      </c>
      <c r="T73">
        <v>284</v>
      </c>
      <c r="U73">
        <v>5.56</v>
      </c>
      <c r="V73">
        <v>44</v>
      </c>
      <c r="W73" t="s">
        <v>16</v>
      </c>
    </row>
    <row r="74" spans="1:23" x14ac:dyDescent="0.35">
      <c r="A74" t="s">
        <v>93</v>
      </c>
      <c r="B74" t="str">
        <f t="shared" si="1"/>
        <v>Bahrain</v>
      </c>
      <c r="C74" t="e">
        <f>VLOOKUP(B74,'Literacy Rate'!B72:C279,2,0)</f>
        <v>#N/A</v>
      </c>
      <c r="D74" t="e">
        <f>VLOOKUP(B74,'Life expectancy index'!B72:C279,2,0)</f>
        <v>#N/A</v>
      </c>
      <c r="E74" t="e">
        <f>VLOOKUP(A74,'Internet users, total (% of pop'!B72:C283,2,0)</f>
        <v>#N/A</v>
      </c>
      <c r="F74" t="e">
        <f>VLOOKUP(B74,'Income Index'!B72:C279,2,0)</f>
        <v>#N/A</v>
      </c>
      <c r="G74" t="e">
        <f>VLOOKUP(A74,'Human Development Index (HDI)	'!B72:C277,2,0)</f>
        <v>#N/A</v>
      </c>
      <c r="H74" t="e">
        <f>VLOOKUP(B74,'Government expenditure on educa'!B72:C280,2,0)</f>
        <v>#N/A</v>
      </c>
      <c r="I74" t="e">
        <f>VLOOKUP(B74,'GDP per capita (2017 PPP $)'!B72:C280,2,0)</f>
        <v>#N/A</v>
      </c>
      <c r="J74" t="e">
        <f>VLOOKUP(B74,'Forest area (% of total land ar'!B72:C282,2,0)</f>
        <v>#N/A</v>
      </c>
      <c r="L74" t="s">
        <v>32</v>
      </c>
      <c r="M74">
        <v>265827</v>
      </c>
      <c r="N74">
        <v>15622.41</v>
      </c>
      <c r="O74">
        <v>1720</v>
      </c>
      <c r="P74">
        <v>101.08</v>
      </c>
      <c r="Q74">
        <v>184</v>
      </c>
      <c r="R74">
        <v>1352</v>
      </c>
      <c r="S74">
        <v>79.459999999999994</v>
      </c>
      <c r="T74">
        <v>22</v>
      </c>
      <c r="U74">
        <v>1.29</v>
      </c>
      <c r="V74">
        <v>1</v>
      </c>
      <c r="W74" t="s">
        <v>16</v>
      </c>
    </row>
    <row r="75" spans="1:23" x14ac:dyDescent="0.35">
      <c r="A75" t="s">
        <v>94</v>
      </c>
      <c r="B75" t="str">
        <f t="shared" si="1"/>
        <v>Honduras</v>
      </c>
      <c r="C75" t="e">
        <f>VLOOKUP(B75,'Literacy Rate'!B73:C280,2,0)</f>
        <v>#N/A</v>
      </c>
      <c r="D75">
        <f>VLOOKUP(B75,'Life expectancy index'!B73:C280,2,0)</f>
        <v>0.85</v>
      </c>
      <c r="E75">
        <f>VLOOKUP(A75,'Internet users, total (% of pop'!B73:C284,2,0)</f>
        <v>31.7</v>
      </c>
      <c r="F75">
        <f>VLOOKUP(B75,'Income Index'!B73:C280,2,0)</f>
        <v>0.6</v>
      </c>
      <c r="G75">
        <f>VLOOKUP(A75,'Human Development Index (HDI)	'!B73:C278,2,0)</f>
        <v>0.63400000000000001</v>
      </c>
      <c r="H75" t="e">
        <f>VLOOKUP(B75,'Government expenditure on educa'!B73:C281,2,0)</f>
        <v>#N/A</v>
      </c>
      <c r="I75" t="e">
        <f>VLOOKUP(B75,'GDP per capita (2017 PPP $)'!B73:C281,2,0)</f>
        <v>#N/A</v>
      </c>
      <c r="J75">
        <f>VLOOKUP(B75,'Forest area (% of total land ar'!B73:C283,2,0)</f>
        <v>40</v>
      </c>
      <c r="L75" t="s">
        <v>15</v>
      </c>
      <c r="M75">
        <v>262760</v>
      </c>
      <c r="N75">
        <v>2652.91</v>
      </c>
      <c r="O75">
        <v>7097</v>
      </c>
      <c r="P75">
        <v>71.650000000000006</v>
      </c>
      <c r="Q75">
        <v>691</v>
      </c>
      <c r="R75">
        <v>7005</v>
      </c>
      <c r="S75">
        <v>70.72</v>
      </c>
      <c r="T75">
        <v>161</v>
      </c>
      <c r="U75">
        <v>1.63</v>
      </c>
      <c r="V75">
        <v>25</v>
      </c>
      <c r="W75" t="s">
        <v>16</v>
      </c>
    </row>
    <row r="76" spans="1:23" x14ac:dyDescent="0.35">
      <c r="A76" t="s">
        <v>95</v>
      </c>
      <c r="B76" t="str">
        <f t="shared" si="1"/>
        <v>Sri Lanka</v>
      </c>
      <c r="C76">
        <f>VLOOKUP(B76,'Literacy Rate'!B74:C281,2,0)</f>
        <v>91.7</v>
      </c>
      <c r="D76">
        <f>VLOOKUP(B76,'Life expectancy index'!B74:C281,2,0)</f>
        <v>0.877</v>
      </c>
      <c r="E76">
        <f>VLOOKUP(A76,'Internet users, total (% of pop'!B74:C285,2,0)</f>
        <v>34.1</v>
      </c>
      <c r="F76">
        <f>VLOOKUP(B76,'Income Index'!B74:C281,2,0)</f>
        <v>0.73199999999999998</v>
      </c>
      <c r="G76">
        <f>VLOOKUP(A76,'Human Development Index (HDI)	'!B74:C279,2,0)</f>
        <v>0.78200000000000003</v>
      </c>
      <c r="H76">
        <f>VLOOKUP(B76,'Government expenditure on educa'!B74:C282,2,0)</f>
        <v>2.1</v>
      </c>
      <c r="I76">
        <f>VLOOKUP(B76,'GDP per capita (2017 PPP $)'!B74:C282,2,0)</f>
        <v>13078</v>
      </c>
      <c r="J76">
        <f>VLOOKUP(B76,'Forest area (% of total land ar'!B74:C284,2,0)</f>
        <v>32.9</v>
      </c>
      <c r="L76" t="s">
        <v>18</v>
      </c>
      <c r="M76">
        <v>260972</v>
      </c>
      <c r="N76">
        <v>1218.74</v>
      </c>
      <c r="O76">
        <v>11046</v>
      </c>
      <c r="P76">
        <v>51.58</v>
      </c>
      <c r="Q76">
        <v>0</v>
      </c>
      <c r="R76">
        <v>3063</v>
      </c>
      <c r="S76">
        <v>14.3</v>
      </c>
      <c r="T76">
        <v>258</v>
      </c>
      <c r="U76">
        <v>1.2</v>
      </c>
      <c r="V76">
        <v>0</v>
      </c>
      <c r="W76" t="s">
        <v>19</v>
      </c>
    </row>
    <row r="77" spans="1:23" x14ac:dyDescent="0.35">
      <c r="A77" t="s">
        <v>96</v>
      </c>
      <c r="B77" t="str">
        <f t="shared" si="1"/>
        <v>Slovenia</v>
      </c>
      <c r="C77">
        <f>VLOOKUP(B77,'Literacy Rate'!B75:C282,2,0)</f>
        <v>99.7</v>
      </c>
      <c r="D77">
        <f>VLOOKUP(B77,'Life expectancy index'!B75:C282,2,0)</f>
        <v>0.94299999999999995</v>
      </c>
      <c r="E77">
        <f>VLOOKUP(A77,'Internet users, total (% of pop'!B75:C286,2,0)</f>
        <v>79.8</v>
      </c>
      <c r="F77">
        <f>VLOOKUP(B77,'Income Index'!B75:C282,2,0)</f>
        <v>0.89800000000000002</v>
      </c>
      <c r="G77">
        <f>VLOOKUP(A77,'Human Development Index (HDI)	'!B75:C280,2,0)</f>
        <v>0.91700000000000004</v>
      </c>
      <c r="H77">
        <f>VLOOKUP(B77,'Government expenditure on educa'!B75:C283,2,0)</f>
        <v>4.8</v>
      </c>
      <c r="I77">
        <f>VLOOKUP(B77,'GDP per capita (2017 PPP $)'!B75:C283,2,0)</f>
        <v>38689</v>
      </c>
      <c r="J77">
        <f>VLOOKUP(B77,'Forest area (% of total land ar'!B75:C285,2,0)</f>
        <v>62</v>
      </c>
      <c r="L77" t="s">
        <v>22</v>
      </c>
      <c r="M77">
        <v>257358</v>
      </c>
      <c r="N77">
        <v>12279.34</v>
      </c>
      <c r="O77">
        <v>192</v>
      </c>
      <c r="P77">
        <v>9.16</v>
      </c>
      <c r="Q77">
        <v>23</v>
      </c>
      <c r="R77">
        <v>4750</v>
      </c>
      <c r="S77">
        <v>226.64</v>
      </c>
      <c r="T77">
        <v>1</v>
      </c>
      <c r="U77">
        <v>0.05</v>
      </c>
      <c r="V77">
        <v>0</v>
      </c>
      <c r="W77" t="s">
        <v>19</v>
      </c>
    </row>
    <row r="78" spans="1:23" x14ac:dyDescent="0.35">
      <c r="A78" t="s">
        <v>97</v>
      </c>
      <c r="B78" t="str">
        <f t="shared" si="1"/>
        <v>Republic of Moldova</v>
      </c>
      <c r="C78" t="e">
        <f>VLOOKUP(B78,'Literacy Rate'!B76:C283,2,0)</f>
        <v>#N/A</v>
      </c>
      <c r="D78" t="e">
        <f>VLOOKUP(B78,'Life expectancy index'!B76:C283,2,0)</f>
        <v>#N/A</v>
      </c>
      <c r="E78" t="e">
        <f>VLOOKUP(A78,'Internet users, total (% of pop'!B76:C287,2,0)</f>
        <v>#N/A</v>
      </c>
      <c r="F78" t="e">
        <f>VLOOKUP(B78,'Income Index'!B76:C283,2,0)</f>
        <v>#N/A</v>
      </c>
      <c r="G78" t="e">
        <f>VLOOKUP(A78,'Human Development Index (HDI)	'!B76:C281,2,0)</f>
        <v>#N/A</v>
      </c>
      <c r="H78" t="e">
        <f>VLOOKUP(B78,'Government expenditure on educa'!B76:C284,2,0)</f>
        <v>#N/A</v>
      </c>
      <c r="I78" t="e">
        <f>VLOOKUP(B78,'GDP per capita (2017 PPP $)'!B76:C284,2,0)</f>
        <v>#N/A</v>
      </c>
      <c r="J78" t="e">
        <f>VLOOKUP(B78,'Forest area (% of total land ar'!B76:C286,2,0)</f>
        <v>#N/A</v>
      </c>
      <c r="L78" t="s">
        <v>22</v>
      </c>
      <c r="M78">
        <v>256816</v>
      </c>
      <c r="N78">
        <v>6366.34</v>
      </c>
      <c r="O78">
        <v>429</v>
      </c>
      <c r="P78">
        <v>10.63</v>
      </c>
      <c r="Q78">
        <v>82</v>
      </c>
      <c r="R78">
        <v>6194</v>
      </c>
      <c r="S78">
        <v>153.55000000000001</v>
      </c>
      <c r="T78">
        <v>14</v>
      </c>
      <c r="U78">
        <v>0.35</v>
      </c>
      <c r="V78">
        <v>0</v>
      </c>
      <c r="W78" t="s">
        <v>16</v>
      </c>
    </row>
    <row r="79" spans="1:23" x14ac:dyDescent="0.35">
      <c r="A79" t="s">
        <v>98</v>
      </c>
      <c r="B79" t="str">
        <f t="shared" si="1"/>
        <v>Armenia</v>
      </c>
      <c r="C79" t="e">
        <f>VLOOKUP(B79,'Literacy Rate'!B77:C284,2,0)</f>
        <v>#N/A</v>
      </c>
      <c r="D79" t="e">
        <f>VLOOKUP(B79,'Life expectancy index'!B77:C284,2,0)</f>
        <v>#N/A</v>
      </c>
      <c r="E79" t="e">
        <f>VLOOKUP(A79,'Internet users, total (% of pop'!B77:C288,2,0)</f>
        <v>#N/A</v>
      </c>
      <c r="F79" t="e">
        <f>VLOOKUP(B79,'Income Index'!B77:C284,2,0)</f>
        <v>#N/A</v>
      </c>
      <c r="G79" t="e">
        <f>VLOOKUP(A79,'Human Development Index (HDI)	'!B77:C282,2,0)</f>
        <v>#N/A</v>
      </c>
      <c r="H79" t="e">
        <f>VLOOKUP(B79,'Government expenditure on educa'!B77:C285,2,0)</f>
        <v>#N/A</v>
      </c>
      <c r="I79" t="e">
        <f>VLOOKUP(B79,'GDP per capita (2017 PPP $)'!B77:C285,2,0)</f>
        <v>#N/A</v>
      </c>
      <c r="J79" t="e">
        <f>VLOOKUP(B79,'Forest area (% of total land ar'!B77:C287,2,0)</f>
        <v>#N/A</v>
      </c>
      <c r="L79" t="s">
        <v>22</v>
      </c>
      <c r="M79">
        <v>225339</v>
      </c>
      <c r="N79">
        <v>7604.5</v>
      </c>
      <c r="O79">
        <v>704</v>
      </c>
      <c r="P79">
        <v>23.76</v>
      </c>
      <c r="Q79">
        <v>118</v>
      </c>
      <c r="R79">
        <v>4518</v>
      </c>
      <c r="S79">
        <v>152.47</v>
      </c>
      <c r="T79">
        <v>13</v>
      </c>
      <c r="U79">
        <v>0.44</v>
      </c>
      <c r="V79">
        <v>1</v>
      </c>
      <c r="W79" t="s">
        <v>16</v>
      </c>
    </row>
    <row r="80" spans="1:23" x14ac:dyDescent="0.35">
      <c r="A80" t="s">
        <v>99</v>
      </c>
      <c r="B80" t="str">
        <f t="shared" si="1"/>
        <v>Qatar</v>
      </c>
      <c r="C80">
        <f>VLOOKUP(B80,'Literacy Rate'!B78:C285,2,0)</f>
        <v>93.5</v>
      </c>
      <c r="D80">
        <f>VLOOKUP(B80,'Life expectancy index'!B78:C285,2,0)</f>
        <v>0.92700000000000005</v>
      </c>
      <c r="E80">
        <f>VLOOKUP(A80,'Internet users, total (% of pop'!B78:C289,2,0)</f>
        <v>99.7</v>
      </c>
      <c r="F80">
        <f>VLOOKUP(B80,'Income Index'!B78:C285,2,0)</f>
        <v>1</v>
      </c>
      <c r="G80">
        <f>VLOOKUP(A80,'Human Development Index (HDI)	'!B78:C283,2,0)</f>
        <v>0.84799999999999998</v>
      </c>
      <c r="H80">
        <f>VLOOKUP(B80,'Government expenditure on educa'!B78:C286,2,0)</f>
        <v>2.9</v>
      </c>
      <c r="I80">
        <f>VLOOKUP(B80,'GDP per capita (2017 PPP $)'!B78:C286,2,0)</f>
        <v>92651</v>
      </c>
      <c r="J80">
        <f>VLOOKUP(B80,'Forest area (% of total land ar'!B78:C288,2,0)</f>
        <v>0</v>
      </c>
      <c r="L80" t="s">
        <v>32</v>
      </c>
      <c r="M80">
        <v>222071</v>
      </c>
      <c r="N80">
        <v>7707.98</v>
      </c>
      <c r="O80">
        <v>798</v>
      </c>
      <c r="P80">
        <v>27.7</v>
      </c>
      <c r="Q80">
        <v>118</v>
      </c>
      <c r="R80">
        <v>590</v>
      </c>
      <c r="S80">
        <v>20.48</v>
      </c>
      <c r="T80">
        <v>4</v>
      </c>
      <c r="U80">
        <v>0.14000000000000001</v>
      </c>
      <c r="V80">
        <v>2</v>
      </c>
      <c r="W80" t="s">
        <v>16</v>
      </c>
    </row>
    <row r="81" spans="1:23" x14ac:dyDescent="0.35">
      <c r="A81" t="s">
        <v>100</v>
      </c>
      <c r="B81" t="str">
        <f t="shared" si="1"/>
        <v>Bosnia and Herzegovina</v>
      </c>
      <c r="C81" t="e">
        <f>VLOOKUP(B81,'Literacy Rate'!B79:C286,2,0)</f>
        <v>#N/A</v>
      </c>
      <c r="D81" t="e">
        <f>VLOOKUP(B81,'Life expectancy index'!B79:C286,2,0)</f>
        <v>#N/A</v>
      </c>
      <c r="E81" t="e">
        <f>VLOOKUP(A81,'Internet users, total (% of pop'!B79:C290,2,0)</f>
        <v>#N/A</v>
      </c>
      <c r="F81" t="e">
        <f>VLOOKUP(B81,'Income Index'!B79:C286,2,0)</f>
        <v>#N/A</v>
      </c>
      <c r="G81" t="e">
        <f>VLOOKUP(A81,'Human Development Index (HDI)	'!B79:C284,2,0)</f>
        <v>#N/A</v>
      </c>
      <c r="H81" t="str">
        <f>VLOOKUP(B81,'Government expenditure on educa'!B79:C287,2,0)</f>
        <v>..</v>
      </c>
      <c r="I81" t="e">
        <f>VLOOKUP(B81,'GDP per capita (2017 PPP $)'!B79:C287,2,0)</f>
        <v>#N/A</v>
      </c>
      <c r="J81" t="e">
        <f>VLOOKUP(B81,'Forest area (% of total land ar'!B79:C289,2,0)</f>
        <v>#N/A</v>
      </c>
      <c r="L81" t="s">
        <v>22</v>
      </c>
      <c r="M81">
        <v>205032</v>
      </c>
      <c r="N81">
        <v>6249.42</v>
      </c>
      <c r="O81">
        <v>96</v>
      </c>
      <c r="P81">
        <v>2.93</v>
      </c>
      <c r="Q81">
        <v>10</v>
      </c>
      <c r="R81">
        <v>9667</v>
      </c>
      <c r="S81">
        <v>294.64999999999998</v>
      </c>
      <c r="T81">
        <v>14</v>
      </c>
      <c r="U81">
        <v>0.43</v>
      </c>
      <c r="V81">
        <v>2</v>
      </c>
      <c r="W81" t="s">
        <v>16</v>
      </c>
    </row>
    <row r="82" spans="1:23" x14ac:dyDescent="0.35">
      <c r="A82" t="s">
        <v>101</v>
      </c>
      <c r="B82" t="str">
        <f t="shared" si="1"/>
        <v>Cuba</v>
      </c>
      <c r="C82" t="e">
        <f>VLOOKUP(B82,'Literacy Rate'!B80:C287,2,0)</f>
        <v>#N/A</v>
      </c>
      <c r="D82" t="e">
        <f>VLOOKUP(B82,'Life expectancy index'!B80:C287,2,0)</f>
        <v>#N/A</v>
      </c>
      <c r="E82" t="e">
        <f>VLOOKUP(A82,'Internet users, total (% of pop'!B80:C291,2,0)</f>
        <v>#N/A</v>
      </c>
      <c r="F82" t="e">
        <f>VLOOKUP(B82,'Income Index'!B80:C287,2,0)</f>
        <v>#N/A</v>
      </c>
      <c r="G82" t="e">
        <f>VLOOKUP(A82,'Human Development Index (HDI)	'!B80:C285,2,0)</f>
        <v>#N/A</v>
      </c>
      <c r="H82" t="e">
        <f>VLOOKUP(B82,'Government expenditure on educa'!B80:C288,2,0)</f>
        <v>#N/A</v>
      </c>
      <c r="I82" t="str">
        <f>VLOOKUP(B82,'GDP per capita (2017 PPP $)'!B80:C288,2,0)</f>
        <v>..</v>
      </c>
      <c r="J82" t="e">
        <f>VLOOKUP(B82,'Forest area (% of total land ar'!B80:C290,2,0)</f>
        <v>#N/A</v>
      </c>
      <c r="L82" t="s">
        <v>15</v>
      </c>
      <c r="M82">
        <v>193945</v>
      </c>
      <c r="N82">
        <v>1712.29</v>
      </c>
      <c r="O82">
        <v>19156</v>
      </c>
      <c r="P82">
        <v>169.12</v>
      </c>
      <c r="Q82">
        <v>2952</v>
      </c>
      <c r="R82">
        <v>1302</v>
      </c>
      <c r="S82">
        <v>11.5</v>
      </c>
      <c r="T82">
        <v>93</v>
      </c>
      <c r="U82">
        <v>0.82</v>
      </c>
      <c r="V82">
        <v>18</v>
      </c>
      <c r="W82" t="s">
        <v>16</v>
      </c>
    </row>
    <row r="83" spans="1:23" x14ac:dyDescent="0.35">
      <c r="A83" t="s">
        <v>102</v>
      </c>
      <c r="B83" t="str">
        <f t="shared" si="1"/>
        <v>Libya</v>
      </c>
      <c r="C83" t="str">
        <f>VLOOKUP(B83,'Literacy Rate'!B81:C288,2,0)</f>
        <v>..</v>
      </c>
      <c r="D83">
        <f>VLOOKUP(B83,'Life expectancy index'!B81:C288,2,0)</f>
        <v>0.81399999999999995</v>
      </c>
      <c r="E83">
        <f>VLOOKUP(A83,'Internet users, total (% of pop'!B81:C292,2,0)</f>
        <v>21.8</v>
      </c>
      <c r="F83">
        <f>VLOOKUP(B83,'Income Index'!B81:C288,2,0)</f>
        <v>0.76400000000000001</v>
      </c>
      <c r="G83">
        <f>VLOOKUP(A83,'Human Development Index (HDI)	'!B81:C286,2,0)</f>
        <v>0.72399999999999998</v>
      </c>
      <c r="H83" t="str">
        <f>VLOOKUP(B83,'Government expenditure on educa'!B81:C289,2,0)</f>
        <v>..</v>
      </c>
      <c r="I83">
        <f>VLOOKUP(B83,'GDP per capita (2017 PPP $)'!B81:C289,2,0)</f>
        <v>15174</v>
      </c>
      <c r="J83">
        <f>VLOOKUP(B83,'Forest area (% of total land ar'!B81:C291,2,0)</f>
        <v>0.1</v>
      </c>
      <c r="L83" t="s">
        <v>32</v>
      </c>
      <c r="M83">
        <v>193474</v>
      </c>
      <c r="N83">
        <v>2815.69</v>
      </c>
      <c r="O83">
        <v>1998</v>
      </c>
      <c r="P83">
        <v>29.08</v>
      </c>
      <c r="Q83">
        <v>236</v>
      </c>
      <c r="R83">
        <v>3193</v>
      </c>
      <c r="S83">
        <v>46.47</v>
      </c>
      <c r="T83">
        <v>10</v>
      </c>
      <c r="U83">
        <v>0.15</v>
      </c>
      <c r="V83">
        <v>2</v>
      </c>
      <c r="W83" t="s">
        <v>16</v>
      </c>
    </row>
    <row r="84" spans="1:23" x14ac:dyDescent="0.35">
      <c r="A84" t="s">
        <v>103</v>
      </c>
      <c r="B84" t="str">
        <f t="shared" si="1"/>
        <v>Kenya</v>
      </c>
      <c r="C84" t="e">
        <f>VLOOKUP(B84,'Literacy Rate'!B82:C289,2,0)</f>
        <v>#N/A</v>
      </c>
      <c r="D84">
        <f>VLOOKUP(B84,'Life expectancy index'!B82:C289,2,0)</f>
        <v>0.71799999999999997</v>
      </c>
      <c r="E84">
        <f>VLOOKUP(A84,'Internet users, total (% of pop'!B82:C293,2,0)</f>
        <v>17.8</v>
      </c>
      <c r="F84">
        <f>VLOOKUP(B84,'Income Index'!B82:C289,2,0)</f>
        <v>0.56599999999999995</v>
      </c>
      <c r="G84">
        <f>VLOOKUP(A84,'Human Development Index (HDI)	'!B82:C287,2,0)</f>
        <v>0.60099999999999998</v>
      </c>
      <c r="H84">
        <f>VLOOKUP(B84,'Government expenditure on educa'!B82:C290,2,0)</f>
        <v>5.3</v>
      </c>
      <c r="I84">
        <f>VLOOKUP(B84,'GDP per capita (2017 PPP $)'!B82:C290,2,0)</f>
        <v>4330</v>
      </c>
      <c r="J84">
        <f>VLOOKUP(B84,'Forest area (% of total land ar'!B82:C292,2,0)</f>
        <v>7.8</v>
      </c>
      <c r="L84" t="s">
        <v>39</v>
      </c>
      <c r="M84">
        <v>184537</v>
      </c>
      <c r="N84">
        <v>343.19</v>
      </c>
      <c r="O84">
        <v>3298</v>
      </c>
      <c r="P84">
        <v>6.13</v>
      </c>
      <c r="Q84">
        <v>376</v>
      </c>
      <c r="R84">
        <v>3640</v>
      </c>
      <c r="S84">
        <v>6.77</v>
      </c>
      <c r="T84">
        <v>102</v>
      </c>
      <c r="U84">
        <v>0.19</v>
      </c>
      <c r="V84">
        <v>6</v>
      </c>
      <c r="W84" t="s">
        <v>16</v>
      </c>
    </row>
    <row r="85" spans="1:23" x14ac:dyDescent="0.35">
      <c r="A85" t="s">
        <v>104</v>
      </c>
      <c r="B85" t="str">
        <f t="shared" si="1"/>
        <v>Nigeria</v>
      </c>
      <c r="C85">
        <f>VLOOKUP(B85,'Literacy Rate'!B83:C290,2,0)</f>
        <v>62</v>
      </c>
      <c r="D85">
        <f>VLOOKUP(B85,'Life expectancy index'!B83:C290,2,0)</f>
        <v>0.53400000000000003</v>
      </c>
      <c r="E85">
        <f>VLOOKUP(A85,'Internet users, total (% of pop'!B83:C294,2,0)</f>
        <v>42</v>
      </c>
      <c r="F85">
        <f>VLOOKUP(B85,'Income Index'!B83:C290,2,0)</f>
        <v>0.58799999999999997</v>
      </c>
      <c r="G85">
        <f>VLOOKUP(A85,'Human Development Index (HDI)	'!B83:C288,2,0)</f>
        <v>0.53900000000000003</v>
      </c>
      <c r="H85" t="str">
        <f>VLOOKUP(B85,'Government expenditure on educa'!B83:C291,2,0)</f>
        <v>..</v>
      </c>
      <c r="I85">
        <f>VLOOKUP(B85,'GDP per capita (2017 PPP $)'!B83:C291,2,0)</f>
        <v>5136</v>
      </c>
      <c r="J85">
        <f>VLOOKUP(B85,'Forest area (% of total land ar'!B83:C293,2,0)</f>
        <v>7.2</v>
      </c>
      <c r="L85" t="s">
        <v>39</v>
      </c>
      <c r="M85">
        <v>167618</v>
      </c>
      <c r="N85">
        <v>81.31</v>
      </c>
      <c r="O85">
        <v>217</v>
      </c>
      <c r="P85">
        <v>0.11</v>
      </c>
      <c r="Q85">
        <v>0</v>
      </c>
      <c r="R85">
        <v>2120</v>
      </c>
      <c r="S85">
        <v>1.03</v>
      </c>
      <c r="T85">
        <v>2</v>
      </c>
      <c r="U85">
        <v>0</v>
      </c>
      <c r="V85">
        <v>0</v>
      </c>
      <c r="W85" t="s">
        <v>16</v>
      </c>
    </row>
    <row r="86" spans="1:23" x14ac:dyDescent="0.35">
      <c r="A86" t="s">
        <v>105</v>
      </c>
      <c r="B86" t="str">
        <f t="shared" si="1"/>
        <v>Myanmar</v>
      </c>
      <c r="C86">
        <f>VLOOKUP(B86,'Literacy Rate'!B84:C291,2,0)</f>
        <v>75.599999999999994</v>
      </c>
      <c r="D86">
        <f>VLOOKUP(B86,'Life expectancy index'!B84:C291,2,0)</f>
        <v>0.72499999999999998</v>
      </c>
      <c r="E86">
        <f>VLOOKUP(A86,'Internet users, total (% of pop'!B84:C295,2,0)</f>
        <v>30.7</v>
      </c>
      <c r="F86">
        <f>VLOOKUP(B86,'Income Index'!B84:C291,2,0)</f>
        <v>0.59</v>
      </c>
      <c r="G86">
        <f>VLOOKUP(A86,'Human Development Index (HDI)	'!B84:C289,2,0)</f>
        <v>0.58299999999999996</v>
      </c>
      <c r="H86">
        <f>VLOOKUP(B86,'Government expenditure on educa'!B84:C292,2,0)</f>
        <v>2</v>
      </c>
      <c r="I86">
        <f>VLOOKUP(B86,'GDP per capita (2017 PPP $)'!B84:C292,2,0)</f>
        <v>5142</v>
      </c>
      <c r="J86">
        <f>VLOOKUP(B86,'Forest area (% of total land ar'!B84:C294,2,0)</f>
        <v>43.6</v>
      </c>
      <c r="L86" t="s">
        <v>18</v>
      </c>
      <c r="M86">
        <v>161210</v>
      </c>
      <c r="N86">
        <v>296.29000000000002</v>
      </c>
      <c r="O86">
        <v>9637</v>
      </c>
      <c r="P86">
        <v>17.71</v>
      </c>
      <c r="Q86">
        <v>1863</v>
      </c>
      <c r="R86">
        <v>3364</v>
      </c>
      <c r="S86">
        <v>6.18</v>
      </c>
      <c r="T86">
        <v>82</v>
      </c>
      <c r="U86">
        <v>0.15</v>
      </c>
      <c r="V86">
        <v>17</v>
      </c>
      <c r="W86" t="s">
        <v>19</v>
      </c>
    </row>
    <row r="87" spans="1:23" x14ac:dyDescent="0.35">
      <c r="A87" t="s">
        <v>106</v>
      </c>
      <c r="B87" t="str">
        <f t="shared" si="1"/>
        <v>Republic of Korea</v>
      </c>
      <c r="C87" t="e">
        <f>VLOOKUP(B87,'Literacy Rate'!B85:C292,2,0)</f>
        <v>#N/A</v>
      </c>
      <c r="D87" t="e">
        <f>VLOOKUP(B87,'Life expectancy index'!B85:C292,2,0)</f>
        <v>#N/A</v>
      </c>
      <c r="E87" t="e">
        <f>VLOOKUP(A87,'Internet users, total (% of pop'!B85:C296,2,0)</f>
        <v>#N/A</v>
      </c>
      <c r="F87" t="e">
        <f>VLOOKUP(B87,'Income Index'!B85:C292,2,0)</f>
        <v>#N/A</v>
      </c>
      <c r="G87" t="e">
        <f>VLOOKUP(A87,'Human Development Index (HDI)	'!B85:C290,2,0)</f>
        <v>#N/A</v>
      </c>
      <c r="H87" t="e">
        <f>VLOOKUP(B87,'Government expenditure on educa'!B85:C293,2,0)</f>
        <v>#N/A</v>
      </c>
      <c r="I87" t="e">
        <f>VLOOKUP(B87,'GDP per capita (2017 PPP $)'!B85:C293,2,0)</f>
        <v>#N/A</v>
      </c>
      <c r="J87" t="e">
        <f>VLOOKUP(B87,'Forest area (% of total land ar'!B85:C295,2,0)</f>
        <v>#N/A</v>
      </c>
      <c r="L87" t="s">
        <v>44</v>
      </c>
      <c r="M87">
        <v>158549</v>
      </c>
      <c r="N87">
        <v>309.25</v>
      </c>
      <c r="O87">
        <v>4760</v>
      </c>
      <c r="P87">
        <v>9.2799999999999994</v>
      </c>
      <c r="Q87">
        <v>826</v>
      </c>
      <c r="R87">
        <v>2024</v>
      </c>
      <c r="S87">
        <v>3.95</v>
      </c>
      <c r="T87">
        <v>15</v>
      </c>
      <c r="U87">
        <v>0.03</v>
      </c>
      <c r="V87">
        <v>3</v>
      </c>
      <c r="W87" t="s">
        <v>19</v>
      </c>
    </row>
    <row r="88" spans="1:23" x14ac:dyDescent="0.35">
      <c r="A88" t="s">
        <v>107</v>
      </c>
      <c r="B88" t="str">
        <f t="shared" si="1"/>
        <v>Zambia</v>
      </c>
      <c r="C88">
        <f>VLOOKUP(B88,'Literacy Rate'!B86:C293,2,0)</f>
        <v>86.7</v>
      </c>
      <c r="D88">
        <f>VLOOKUP(B88,'Life expectancy index'!B86:C293,2,0)</f>
        <v>0.67500000000000004</v>
      </c>
      <c r="E88">
        <f>VLOOKUP(A88,'Internet users, total (% of pop'!B86:C297,2,0)</f>
        <v>14.3</v>
      </c>
      <c r="F88">
        <f>VLOOKUP(B88,'Income Index'!B86:C293,2,0)</f>
        <v>0.52900000000000003</v>
      </c>
      <c r="G88">
        <f>VLOOKUP(A88,'Human Development Index (HDI)	'!B86:C291,2,0)</f>
        <v>0.58399999999999996</v>
      </c>
      <c r="H88">
        <f>VLOOKUP(B88,'Government expenditure on educa'!B86:C294,2,0)</f>
        <v>4.7</v>
      </c>
      <c r="I88">
        <f>VLOOKUP(B88,'GDP per capita (2017 PPP $)'!B86:C294,2,0)</f>
        <v>3479</v>
      </c>
      <c r="J88">
        <f>VLOOKUP(B88,'Forest area (% of total land ar'!B86:C296,2,0)</f>
        <v>65.2</v>
      </c>
      <c r="L88" t="s">
        <v>39</v>
      </c>
      <c r="M88">
        <v>157832</v>
      </c>
      <c r="N88">
        <v>858.53</v>
      </c>
      <c r="O88">
        <v>17212</v>
      </c>
      <c r="P88">
        <v>93.63</v>
      </c>
      <c r="Q88">
        <v>2884</v>
      </c>
      <c r="R88">
        <v>2271</v>
      </c>
      <c r="S88">
        <v>12.35</v>
      </c>
      <c r="T88">
        <v>416</v>
      </c>
      <c r="U88">
        <v>2.2599999999999998</v>
      </c>
      <c r="V88">
        <v>72</v>
      </c>
      <c r="W88" t="s">
        <v>16</v>
      </c>
    </row>
    <row r="89" spans="1:23" x14ac:dyDescent="0.35">
      <c r="A89" t="s">
        <v>108</v>
      </c>
      <c r="B89" t="str">
        <f t="shared" si="1"/>
        <v>North Macedonia</v>
      </c>
      <c r="C89">
        <f>VLOOKUP(B89,'Literacy Rate'!B87:C294,2,0)</f>
        <v>97.8</v>
      </c>
      <c r="D89">
        <f>VLOOKUP(B89,'Life expectancy index'!B87:C294,2,0)</f>
        <v>0.85799999999999998</v>
      </c>
      <c r="E89">
        <f>VLOOKUP(A89,'Internet users, total (% of pop'!B87:C298,2,0)</f>
        <v>79.2</v>
      </c>
      <c r="F89">
        <f>VLOOKUP(B89,'Income Index'!B87:C294,2,0)</f>
        <v>0.76500000000000001</v>
      </c>
      <c r="G89">
        <f>VLOOKUP(A89,'Human Development Index (HDI)	'!B87:C292,2,0)</f>
        <v>0.77400000000000002</v>
      </c>
      <c r="H89" t="str">
        <f>VLOOKUP(B89,'Government expenditure on educa'!B87:C295,2,0)</f>
        <v>..</v>
      </c>
      <c r="I89">
        <f>VLOOKUP(B89,'GDP per capita (2017 PPP $)'!B87:C295,2,0)</f>
        <v>16506</v>
      </c>
      <c r="J89">
        <f>VLOOKUP(B89,'Forest area (% of total land ar'!B87:C297,2,0)</f>
        <v>39.6</v>
      </c>
      <c r="L89" t="s">
        <v>22</v>
      </c>
      <c r="M89">
        <v>155689</v>
      </c>
      <c r="N89">
        <v>7472.9</v>
      </c>
      <c r="O89">
        <v>34</v>
      </c>
      <c r="P89">
        <v>1.63</v>
      </c>
      <c r="Q89">
        <v>5</v>
      </c>
      <c r="R89">
        <v>5485</v>
      </c>
      <c r="S89">
        <v>263.27</v>
      </c>
      <c r="T89">
        <v>4</v>
      </c>
      <c r="U89">
        <v>0.19</v>
      </c>
      <c r="V89">
        <v>1</v>
      </c>
      <c r="W89" t="s">
        <v>109</v>
      </c>
    </row>
    <row r="90" spans="1:23" x14ac:dyDescent="0.35">
      <c r="A90" t="s">
        <v>110</v>
      </c>
      <c r="B90" t="str">
        <f t="shared" si="1"/>
        <v>Algeria</v>
      </c>
      <c r="C90" t="e">
        <f>VLOOKUP(B90,'Literacy Rate'!B88:C295,2,0)</f>
        <v>#N/A</v>
      </c>
      <c r="D90" t="e">
        <f>VLOOKUP(B90,'Life expectancy index'!B88:C295,2,0)</f>
        <v>#N/A</v>
      </c>
      <c r="E90" t="e">
        <f>VLOOKUP(A90,'Internet users, total (% of pop'!B88:C299,2,0)</f>
        <v>#N/A</v>
      </c>
      <c r="F90" t="e">
        <f>VLOOKUP(B90,'Income Index'!B88:C295,2,0)</f>
        <v>#N/A</v>
      </c>
      <c r="G90" t="e">
        <f>VLOOKUP(A90,'Human Development Index (HDI)	'!B88:C293,2,0)</f>
        <v>#N/A</v>
      </c>
      <c r="H90" t="str">
        <f>VLOOKUP(B90,'Government expenditure on educa'!B88:C296,2,0)</f>
        <v>..</v>
      </c>
      <c r="I90" t="e">
        <f>VLOOKUP(B90,'GDP per capita (2017 PPP $)'!B88:C296,2,0)</f>
        <v>#N/A</v>
      </c>
      <c r="J90" t="e">
        <f>VLOOKUP(B90,'Forest area (% of total land ar'!B88:C298,2,0)</f>
        <v>#N/A</v>
      </c>
      <c r="L90" t="s">
        <v>39</v>
      </c>
      <c r="M90">
        <v>140075</v>
      </c>
      <c r="N90">
        <v>319.43</v>
      </c>
      <c r="O90">
        <v>2672</v>
      </c>
      <c r="P90">
        <v>6.09</v>
      </c>
      <c r="Q90">
        <v>449</v>
      </c>
      <c r="R90">
        <v>3726</v>
      </c>
      <c r="S90">
        <v>8.5</v>
      </c>
      <c r="T90">
        <v>57</v>
      </c>
      <c r="U90">
        <v>0.13</v>
      </c>
      <c r="V90">
        <v>10</v>
      </c>
      <c r="W90" t="s">
        <v>16</v>
      </c>
    </row>
    <row r="91" spans="1:23" x14ac:dyDescent="0.35">
      <c r="A91" t="s">
        <v>111</v>
      </c>
      <c r="B91" t="str">
        <f t="shared" si="1"/>
        <v>Puerto Rico</v>
      </c>
      <c r="C91" t="e">
        <f>VLOOKUP(B91,'Literacy Rate'!B89:C296,2,0)</f>
        <v>#N/A</v>
      </c>
      <c r="D91" t="e">
        <f>VLOOKUP(B91,'Life expectancy index'!B89:C296,2,0)</f>
        <v>#N/A</v>
      </c>
      <c r="E91" t="e">
        <f>VLOOKUP(A91,'Internet users, total (% of pop'!B89:C300,2,0)</f>
        <v>#N/A</v>
      </c>
      <c r="F91" t="e">
        <f>VLOOKUP(B91,'Income Index'!B89:C296,2,0)</f>
        <v>#N/A</v>
      </c>
      <c r="G91" t="e">
        <f>VLOOKUP(A91,'Human Development Index (HDI)	'!B89:C294,2,0)</f>
        <v>#N/A</v>
      </c>
      <c r="H91" t="e">
        <f>VLOOKUP(B91,'Government expenditure on educa'!B89:C297,2,0)</f>
        <v>#N/A</v>
      </c>
      <c r="I91" t="e">
        <f>VLOOKUP(B91,'GDP per capita (2017 PPP $)'!B89:C297,2,0)</f>
        <v>#N/A</v>
      </c>
      <c r="J91" t="e">
        <f>VLOOKUP(B91,'Forest area (% of total land ar'!B89:C299,2,0)</f>
        <v>#N/A</v>
      </c>
      <c r="L91" t="s">
        <v>15</v>
      </c>
      <c r="M91">
        <v>140058</v>
      </c>
      <c r="N91">
        <v>4895.67</v>
      </c>
      <c r="O91">
        <v>256</v>
      </c>
      <c r="P91">
        <v>8.9499999999999993</v>
      </c>
      <c r="Q91">
        <v>32</v>
      </c>
      <c r="R91">
        <v>2549</v>
      </c>
      <c r="S91">
        <v>89.1</v>
      </c>
      <c r="T91">
        <v>5</v>
      </c>
      <c r="U91">
        <v>0.17</v>
      </c>
      <c r="V91">
        <v>0</v>
      </c>
      <c r="W91" t="s">
        <v>16</v>
      </c>
    </row>
    <row r="92" spans="1:23" x14ac:dyDescent="0.35">
      <c r="A92" t="s">
        <v>112</v>
      </c>
      <c r="B92" t="str">
        <f t="shared" si="1"/>
        <v>Latvia</v>
      </c>
      <c r="C92" t="e">
        <f>VLOOKUP(B92,'Literacy Rate'!B90:C297,2,0)</f>
        <v>#N/A</v>
      </c>
      <c r="D92">
        <f>VLOOKUP(B92,'Life expectancy index'!B90:C297,2,0)</f>
        <v>0.85099999999999998</v>
      </c>
      <c r="E92">
        <f>VLOOKUP(A92,'Internet users, total (% of pop'!B90:C301,2,0)</f>
        <v>83.6</v>
      </c>
      <c r="F92">
        <f>VLOOKUP(B92,'Income Index'!B90:C297,2,0)</f>
        <v>0.86299999999999999</v>
      </c>
      <c r="G92">
        <f>VLOOKUP(A92,'Human Development Index (HDI)	'!B90:C295,2,0)</f>
        <v>0.86599999999999999</v>
      </c>
      <c r="H92" t="e">
        <f>VLOOKUP(B92,'Government expenditure on educa'!B90:C298,2,0)</f>
        <v>#N/A</v>
      </c>
      <c r="I92">
        <f>VLOOKUP(B92,'GDP per capita (2017 PPP $)'!B90:C298,2,0)</f>
        <v>30830</v>
      </c>
      <c r="J92">
        <f>VLOOKUP(B92,'Forest area (% of total land ar'!B90:C300,2,0)</f>
        <v>54</v>
      </c>
      <c r="L92" t="s">
        <v>22</v>
      </c>
      <c r="M92">
        <v>137500</v>
      </c>
      <c r="N92">
        <v>7207.73</v>
      </c>
      <c r="O92">
        <v>390</v>
      </c>
      <c r="P92">
        <v>20.440000000000001</v>
      </c>
      <c r="Q92">
        <v>71</v>
      </c>
      <c r="R92">
        <v>2520</v>
      </c>
      <c r="S92">
        <v>132.1</v>
      </c>
      <c r="T92">
        <v>20</v>
      </c>
      <c r="U92">
        <v>1.05</v>
      </c>
      <c r="V92">
        <v>7</v>
      </c>
      <c r="W92" t="s">
        <v>16</v>
      </c>
    </row>
    <row r="93" spans="1:23" x14ac:dyDescent="0.35">
      <c r="A93" t="s">
        <v>113</v>
      </c>
      <c r="B93" t="str">
        <f t="shared" si="1"/>
        <v>Albania</v>
      </c>
      <c r="C93" t="e">
        <f>VLOOKUP(B93,'Literacy Rate'!B91:C298,2,0)</f>
        <v>#N/A</v>
      </c>
      <c r="D93" t="e">
        <f>VLOOKUP(B93,'Life expectancy index'!B91:C298,2,0)</f>
        <v>#N/A</v>
      </c>
      <c r="E93" t="e">
        <f>VLOOKUP(A93,'Internet users, total (% of pop'!B91:C302,2,0)</f>
        <v>#N/A</v>
      </c>
      <c r="F93" t="e">
        <f>VLOOKUP(B93,'Income Index'!B91:C298,2,0)</f>
        <v>#N/A</v>
      </c>
      <c r="G93" t="e">
        <f>VLOOKUP(A93,'Human Development Index (HDI)	'!B91:C296,2,0)</f>
        <v>#N/A</v>
      </c>
      <c r="H93" t="e">
        <f>VLOOKUP(B93,'Government expenditure on educa'!B91:C299,2,0)</f>
        <v>#N/A</v>
      </c>
      <c r="I93" t="e">
        <f>VLOOKUP(B93,'GDP per capita (2017 PPP $)'!B91:C299,2,0)</f>
        <v>#N/A</v>
      </c>
      <c r="J93" t="e">
        <f>VLOOKUP(B93,'Forest area (% of total land ar'!B91:C301,2,0)</f>
        <v>#N/A</v>
      </c>
      <c r="L93" t="s">
        <v>22</v>
      </c>
      <c r="M93">
        <v>132523</v>
      </c>
      <c r="N93">
        <v>4605.01</v>
      </c>
      <c r="O93">
        <v>24</v>
      </c>
      <c r="P93">
        <v>0.83</v>
      </c>
      <c r="Q93">
        <v>2</v>
      </c>
      <c r="R93">
        <v>2456</v>
      </c>
      <c r="S93">
        <v>85.34</v>
      </c>
      <c r="T93">
        <v>1</v>
      </c>
      <c r="U93">
        <v>0.03</v>
      </c>
      <c r="V93">
        <v>0</v>
      </c>
      <c r="W93" t="s">
        <v>19</v>
      </c>
    </row>
    <row r="94" spans="1:23" x14ac:dyDescent="0.35">
      <c r="A94" t="s">
        <v>114</v>
      </c>
      <c r="B94" t="str">
        <f t="shared" si="1"/>
        <v>Norway</v>
      </c>
      <c r="C94" t="str">
        <f>VLOOKUP(B94,'Literacy Rate'!B92:C299,2,0)</f>
        <v>..</v>
      </c>
      <c r="D94">
        <f>VLOOKUP(B94,'Life expectancy index'!B92:C299,2,0)</f>
        <v>0.96</v>
      </c>
      <c r="E94">
        <f>VLOOKUP(A94,'Internet users, total (% of pop'!B92:C303,2,0)</f>
        <v>96.5</v>
      </c>
      <c r="F94">
        <f>VLOOKUP(B94,'Income Index'!B92:C299,2,0)</f>
        <v>0.98199999999999998</v>
      </c>
      <c r="G94">
        <f>VLOOKUP(A94,'Human Development Index (HDI)	'!B92:C297,2,0)</f>
        <v>0.95699999999999996</v>
      </c>
      <c r="H94">
        <f>VLOOKUP(B94,'Government expenditure on educa'!B92:C300,2,0)</f>
        <v>8</v>
      </c>
      <c r="I94">
        <f>VLOOKUP(B94,'GDP per capita (2017 PPP $)'!B92:C300,2,0)</f>
        <v>63633</v>
      </c>
      <c r="J94">
        <f>VLOOKUP(B94,'Forest area (% of total land ar'!B92:C302,2,0)</f>
        <v>33.200000000000003</v>
      </c>
      <c r="L94" t="s">
        <v>22</v>
      </c>
      <c r="M94">
        <v>131508</v>
      </c>
      <c r="N94">
        <v>2450.04</v>
      </c>
      <c r="O94">
        <v>1473</v>
      </c>
      <c r="P94">
        <v>27.44</v>
      </c>
      <c r="Q94">
        <v>193</v>
      </c>
      <c r="R94">
        <v>794</v>
      </c>
      <c r="S94">
        <v>14.79</v>
      </c>
      <c r="T94">
        <v>2</v>
      </c>
      <c r="U94">
        <v>0.04</v>
      </c>
      <c r="V94">
        <v>0</v>
      </c>
      <c r="W94" t="s">
        <v>19</v>
      </c>
    </row>
    <row r="95" spans="1:23" x14ac:dyDescent="0.35">
      <c r="A95" t="s">
        <v>115</v>
      </c>
      <c r="B95" t="str">
        <f t="shared" si="1"/>
        <v>Estonia</v>
      </c>
      <c r="C95" t="e">
        <f>VLOOKUP(B95,'Literacy Rate'!B93:C300,2,0)</f>
        <v>#N/A</v>
      </c>
      <c r="D95" t="e">
        <f>VLOOKUP(B95,'Life expectancy index'!B93:C300,2,0)</f>
        <v>#N/A</v>
      </c>
      <c r="E95" t="e">
        <f>VLOOKUP(A95,'Internet users, total (% of pop'!B93:C304,2,0)</f>
        <v>#N/A</v>
      </c>
      <c r="F95" t="e">
        <f>VLOOKUP(B95,'Income Index'!B93:C300,2,0)</f>
        <v>#N/A</v>
      </c>
      <c r="G95" t="e">
        <f>VLOOKUP(A95,'Human Development Index (HDI)	'!B93:C298,2,0)</f>
        <v>#N/A</v>
      </c>
      <c r="H95" t="e">
        <f>VLOOKUP(B95,'Government expenditure on educa'!B93:C301,2,0)</f>
        <v>#N/A</v>
      </c>
      <c r="I95" t="e">
        <f>VLOOKUP(B95,'GDP per capita (2017 PPP $)'!B93:C301,2,0)</f>
        <v>#N/A</v>
      </c>
      <c r="J95" t="e">
        <f>VLOOKUP(B95,'Forest area (% of total land ar'!B93:C303,2,0)</f>
        <v>#N/A</v>
      </c>
      <c r="L95" t="s">
        <v>22</v>
      </c>
      <c r="M95">
        <v>131123</v>
      </c>
      <c r="N95">
        <v>9866.4699999999993</v>
      </c>
      <c r="O95">
        <v>215</v>
      </c>
      <c r="P95">
        <v>16.18</v>
      </c>
      <c r="Q95">
        <v>38</v>
      </c>
      <c r="R95">
        <v>1269</v>
      </c>
      <c r="S95">
        <v>95.49</v>
      </c>
      <c r="T95">
        <v>0</v>
      </c>
      <c r="U95">
        <v>0</v>
      </c>
      <c r="V95">
        <v>0</v>
      </c>
      <c r="W95" t="s">
        <v>19</v>
      </c>
    </row>
    <row r="96" spans="1:23" x14ac:dyDescent="0.35">
      <c r="A96" t="s">
        <v>116</v>
      </c>
      <c r="B96" t="str">
        <f t="shared" si="1"/>
        <v>Kyrgyzstan</v>
      </c>
      <c r="C96" t="e">
        <f>VLOOKUP(B96,'Literacy Rate'!B94:C301,2,0)</f>
        <v>#N/A</v>
      </c>
      <c r="D96">
        <f>VLOOKUP(B96,'Life expectancy index'!B94:C301,2,0)</f>
        <v>0.79200000000000004</v>
      </c>
      <c r="E96">
        <f>VLOOKUP(A96,'Internet users, total (% of pop'!B94:C305,2,0)</f>
        <v>38</v>
      </c>
      <c r="F96" t="e">
        <f>VLOOKUP(B96,'Income Index'!B94:C301,2,0)</f>
        <v>#N/A</v>
      </c>
      <c r="G96" t="e">
        <f>VLOOKUP(A96,'Human Development Index (HDI)	'!B94:C299,2,0)</f>
        <v>#N/A</v>
      </c>
      <c r="H96" t="e">
        <f>VLOOKUP(B96,'Government expenditure on educa'!B94:C302,2,0)</f>
        <v>#N/A</v>
      </c>
      <c r="I96" t="e">
        <f>VLOOKUP(B96,'GDP per capita (2017 PPP $)'!B94:C302,2,0)</f>
        <v>#N/A</v>
      </c>
      <c r="J96" t="e">
        <f>VLOOKUP(B96,'Forest area (% of total land ar'!B94:C304,2,0)</f>
        <v>#N/A</v>
      </c>
      <c r="L96" t="s">
        <v>22</v>
      </c>
      <c r="M96">
        <v>127880</v>
      </c>
      <c r="N96">
        <v>1960.09</v>
      </c>
      <c r="O96">
        <v>8899</v>
      </c>
      <c r="P96">
        <v>136.4</v>
      </c>
      <c r="Q96">
        <v>1485</v>
      </c>
      <c r="R96">
        <v>2019</v>
      </c>
      <c r="S96">
        <v>30.95</v>
      </c>
      <c r="T96">
        <v>55</v>
      </c>
      <c r="U96">
        <v>0.84</v>
      </c>
      <c r="V96">
        <v>10</v>
      </c>
      <c r="W96" t="s">
        <v>19</v>
      </c>
    </row>
    <row r="97" spans="1:23" x14ac:dyDescent="0.35">
      <c r="A97" t="s">
        <v>117</v>
      </c>
      <c r="B97" t="str">
        <f t="shared" si="1"/>
        <v>Afghanistan</v>
      </c>
      <c r="C97" t="e">
        <f>VLOOKUP(B97,'Literacy Rate'!B95:C302,2,0)</f>
        <v>#N/A</v>
      </c>
      <c r="D97" t="e">
        <f>VLOOKUP(B97,'Life expectancy index'!B95:C302,2,0)</f>
        <v>#N/A</v>
      </c>
      <c r="E97" t="e">
        <f>VLOOKUP(A97,'Internet users, total (% of pop'!B95:C306,2,0)</f>
        <v>#N/A</v>
      </c>
      <c r="F97" t="e">
        <f>VLOOKUP(B97,'Income Index'!B95:C302,2,0)</f>
        <v>#N/A</v>
      </c>
      <c r="G97" t="e">
        <f>VLOOKUP(A97,'Human Development Index (HDI)	'!B95:C300,2,0)</f>
        <v>#N/A</v>
      </c>
      <c r="H97" t="e">
        <f>VLOOKUP(B97,'Government expenditure on educa'!B95:C303,2,0)</f>
        <v>#N/A</v>
      </c>
      <c r="I97" t="e">
        <f>VLOOKUP(B97,'GDP per capita (2017 PPP $)'!B95:C303,2,0)</f>
        <v>#N/A</v>
      </c>
      <c r="J97" t="e">
        <f>VLOOKUP(B97,'Forest area (% of total land ar'!B95:C305,2,0)</f>
        <v>#N/A</v>
      </c>
      <c r="L97" t="s">
        <v>32</v>
      </c>
      <c r="M97">
        <v>120216</v>
      </c>
      <c r="N97">
        <v>308.81</v>
      </c>
      <c r="O97">
        <v>10684</v>
      </c>
      <c r="P97">
        <v>27.45</v>
      </c>
      <c r="Q97">
        <v>1557</v>
      </c>
      <c r="R97">
        <v>4962</v>
      </c>
      <c r="S97">
        <v>12.75</v>
      </c>
      <c r="T97">
        <v>510</v>
      </c>
      <c r="U97">
        <v>1.31</v>
      </c>
      <c r="V97">
        <v>91</v>
      </c>
      <c r="W97" t="s">
        <v>16</v>
      </c>
    </row>
    <row r="98" spans="1:23" x14ac:dyDescent="0.35">
      <c r="A98" t="s">
        <v>118</v>
      </c>
      <c r="B98" t="str">
        <f t="shared" si="1"/>
        <v>China</v>
      </c>
      <c r="C98" t="e">
        <f>VLOOKUP(B98,'Literacy Rate'!B96:C303,2,0)</f>
        <v>#N/A</v>
      </c>
      <c r="D98" t="e">
        <f>VLOOKUP(B98,'Life expectancy index'!B96:C303,2,0)</f>
        <v>#N/A</v>
      </c>
      <c r="E98" t="e">
        <f>VLOOKUP(A98,'Internet users, total (% of pop'!B96:C307,2,0)</f>
        <v>#N/A</v>
      </c>
      <c r="F98" t="e">
        <f>VLOOKUP(B98,'Income Index'!B96:C303,2,0)</f>
        <v>#N/A</v>
      </c>
      <c r="G98" t="e">
        <f>VLOOKUP(A98,'Human Development Index (HDI)	'!B96:C301,2,0)</f>
        <v>#N/A</v>
      </c>
      <c r="H98" t="e">
        <f>VLOOKUP(B98,'Government expenditure on educa'!B96:C304,2,0)</f>
        <v>#N/A</v>
      </c>
      <c r="I98" t="e">
        <f>VLOOKUP(B98,'GDP per capita (2017 PPP $)'!B96:C304,2,0)</f>
        <v>#N/A</v>
      </c>
      <c r="J98" t="e">
        <f>VLOOKUP(B98,'Forest area (% of total land ar'!B96:C306,2,0)</f>
        <v>#N/A</v>
      </c>
      <c r="L98" t="s">
        <v>44</v>
      </c>
      <c r="M98">
        <v>118644</v>
      </c>
      <c r="N98">
        <v>8.06</v>
      </c>
      <c r="O98">
        <v>604</v>
      </c>
      <c r="P98">
        <v>0.04</v>
      </c>
      <c r="Q98">
        <v>72</v>
      </c>
      <c r="R98">
        <v>5508</v>
      </c>
      <c r="S98">
        <v>0.37</v>
      </c>
      <c r="T98">
        <v>57</v>
      </c>
      <c r="U98">
        <v>0</v>
      </c>
      <c r="V98">
        <v>13</v>
      </c>
      <c r="W98" t="s">
        <v>19</v>
      </c>
    </row>
    <row r="99" spans="1:23" x14ac:dyDescent="0.35">
      <c r="A99" t="s">
        <v>119</v>
      </c>
      <c r="B99" t="str">
        <f t="shared" si="1"/>
        <v>Mongolia</v>
      </c>
      <c r="C99" t="e">
        <f>VLOOKUP(B99,'Literacy Rate'!B97:C304,2,0)</f>
        <v>#N/A</v>
      </c>
      <c r="D99">
        <f>VLOOKUP(B99,'Life expectancy index'!B97:C304,2,0)</f>
        <v>0.76700000000000002</v>
      </c>
      <c r="E99">
        <f>VLOOKUP(A99,'Internet users, total (% of pop'!B97:C308,2,0)</f>
        <v>23.7</v>
      </c>
      <c r="F99">
        <f>VLOOKUP(B99,'Income Index'!B97:C304,2,0)</f>
        <v>0.70799999999999996</v>
      </c>
      <c r="G99">
        <f>VLOOKUP(A99,'Human Development Index (HDI)	'!B97:C302,2,0)</f>
        <v>0.73699999999999999</v>
      </c>
      <c r="H99">
        <f>VLOOKUP(B99,'Government expenditure on educa'!B97:C305,2,0)</f>
        <v>4.0999999999999996</v>
      </c>
      <c r="I99">
        <f>VLOOKUP(B99,'GDP per capita (2017 PPP $)'!B97:C305,2,0)</f>
        <v>12310</v>
      </c>
      <c r="J99">
        <f>VLOOKUP(B99,'Forest area (% of total land ar'!B97:C307,2,0)</f>
        <v>8</v>
      </c>
      <c r="L99" t="s">
        <v>44</v>
      </c>
      <c r="M99">
        <v>117963</v>
      </c>
      <c r="N99">
        <v>3598.31</v>
      </c>
      <c r="O99">
        <v>15334</v>
      </c>
      <c r="P99">
        <v>467.74</v>
      </c>
      <c r="Q99">
        <v>2485</v>
      </c>
      <c r="R99">
        <v>578</v>
      </c>
      <c r="S99">
        <v>17.63</v>
      </c>
      <c r="T99">
        <v>96</v>
      </c>
      <c r="U99">
        <v>2.93</v>
      </c>
      <c r="V99">
        <v>15</v>
      </c>
      <c r="W99" t="s">
        <v>19</v>
      </c>
    </row>
    <row r="100" spans="1:23" x14ac:dyDescent="0.35">
      <c r="A100" t="s">
        <v>120</v>
      </c>
      <c r="B100" t="str">
        <f t="shared" si="1"/>
        <v>Uzbekistan</v>
      </c>
      <c r="C100">
        <f>VLOOKUP(B100,'Literacy Rate'!B98:C305,2,0)</f>
        <v>100</v>
      </c>
      <c r="D100">
        <f>VLOOKUP(B100,'Life expectancy index'!B98:C305,2,0)</f>
        <v>0.79600000000000004</v>
      </c>
      <c r="E100">
        <f>VLOOKUP(A100,'Internet users, total (% of pop'!B98:C309,2,0)</f>
        <v>52.3</v>
      </c>
      <c r="F100">
        <f>VLOOKUP(B100,'Income Index'!B98:C305,2,0)</f>
        <v>0.64500000000000002</v>
      </c>
      <c r="G100">
        <f>VLOOKUP(A100,'Human Development Index (HDI)	'!B98:C303,2,0)</f>
        <v>0.72</v>
      </c>
      <c r="H100">
        <f>VLOOKUP(B100,'Government expenditure on educa'!B98:C306,2,0)</f>
        <v>5.3</v>
      </c>
      <c r="I100">
        <f>VLOOKUP(B100,'GDP per capita (2017 PPP $)'!B98:C306,2,0)</f>
        <v>6999</v>
      </c>
      <c r="J100">
        <f>VLOOKUP(B100,'Forest area (% of total land ar'!B98:C308,2,0)</f>
        <v>7.5</v>
      </c>
      <c r="L100" t="s">
        <v>22</v>
      </c>
      <c r="M100">
        <v>111648</v>
      </c>
      <c r="N100">
        <v>333.58</v>
      </c>
      <c r="O100">
        <v>3464</v>
      </c>
      <c r="P100">
        <v>10.35</v>
      </c>
      <c r="Q100">
        <v>495</v>
      </c>
      <c r="R100">
        <v>742</v>
      </c>
      <c r="S100">
        <v>2.2200000000000002</v>
      </c>
      <c r="T100">
        <v>17</v>
      </c>
      <c r="U100">
        <v>0.05</v>
      </c>
      <c r="V100">
        <v>2</v>
      </c>
      <c r="W100" t="s">
        <v>19</v>
      </c>
    </row>
    <row r="101" spans="1:23" x14ac:dyDescent="0.35">
      <c r="A101" t="s">
        <v>121</v>
      </c>
      <c r="B101" t="str">
        <f t="shared" si="1"/>
        <v>Kosovo[1]</v>
      </c>
      <c r="C101" t="e">
        <f>VLOOKUP(B101,'Literacy Rate'!B99:C306,2,0)</f>
        <v>#N/A</v>
      </c>
      <c r="D101" t="e">
        <f>VLOOKUP(B101,'Life expectancy index'!B99:C306,2,0)</f>
        <v>#N/A</v>
      </c>
      <c r="E101" t="e">
        <f>VLOOKUP(A101,'Internet users, total (% of pop'!B99:C310,2,0)</f>
        <v>#N/A</v>
      </c>
      <c r="F101" t="e">
        <f>VLOOKUP(B101,'Income Index'!B99:C306,2,0)</f>
        <v>#N/A</v>
      </c>
      <c r="G101" t="e">
        <f>VLOOKUP(A101,'Human Development Index (HDI)	'!B99:C304,2,0)</f>
        <v>#N/A</v>
      </c>
      <c r="H101" t="e">
        <f>VLOOKUP(B101,'Government expenditure on educa'!B99:C307,2,0)</f>
        <v>#N/A</v>
      </c>
      <c r="I101" t="e">
        <f>VLOOKUP(B101,'GDP per capita (2017 PPP $)'!B99:C307,2,0)</f>
        <v>#N/A</v>
      </c>
      <c r="J101" t="e">
        <f>VLOOKUP(B101,'Forest area (% of total land ar'!B99:C309,2,0)</f>
        <v>#N/A</v>
      </c>
      <c r="L101" t="s">
        <v>22</v>
      </c>
      <c r="M101">
        <v>107725</v>
      </c>
      <c r="N101">
        <v>5999.17</v>
      </c>
      <c r="O101">
        <v>61</v>
      </c>
      <c r="P101">
        <v>3.4</v>
      </c>
      <c r="Q101">
        <v>10</v>
      </c>
      <c r="R101">
        <v>2248</v>
      </c>
      <c r="S101">
        <v>125.19</v>
      </c>
      <c r="T101">
        <v>2</v>
      </c>
      <c r="U101">
        <v>0.11</v>
      </c>
      <c r="V101">
        <v>0</v>
      </c>
      <c r="W101" t="s">
        <v>16</v>
      </c>
    </row>
    <row r="102" spans="1:23" x14ac:dyDescent="0.35">
      <c r="A102" t="s">
        <v>122</v>
      </c>
      <c r="B102" t="str">
        <f t="shared" si="1"/>
        <v>Montenegro</v>
      </c>
      <c r="C102" t="e">
        <f>VLOOKUP(B102,'Literacy Rate'!B100:C307,2,0)</f>
        <v>#N/A</v>
      </c>
      <c r="D102">
        <f>VLOOKUP(B102,'Life expectancy index'!B100:C307,2,0)</f>
        <v>0.875</v>
      </c>
      <c r="E102">
        <f>VLOOKUP(A102,'Internet users, total (% of pop'!B100:C311,2,0)</f>
        <v>71.5</v>
      </c>
      <c r="F102">
        <f>VLOOKUP(B102,'Income Index'!B100:C307,2,0)</f>
        <v>0.81100000000000005</v>
      </c>
      <c r="G102">
        <f>VLOOKUP(A102,'Human Development Index (HDI)	'!B100:C305,2,0)</f>
        <v>0.82899999999999996</v>
      </c>
      <c r="H102" t="str">
        <f>VLOOKUP(B102,'Government expenditure on educa'!B100:C308,2,0)</f>
        <v>..</v>
      </c>
      <c r="I102">
        <f>VLOOKUP(B102,'GDP per capita (2017 PPP $)'!B100:C308,2,0)</f>
        <v>21379</v>
      </c>
      <c r="J102">
        <f>VLOOKUP(B102,'Forest area (% of total land ar'!B100:C310,2,0)</f>
        <v>61.5</v>
      </c>
      <c r="L102" t="s">
        <v>22</v>
      </c>
      <c r="M102">
        <v>100263</v>
      </c>
      <c r="N102">
        <v>15963.87</v>
      </c>
      <c r="O102">
        <v>104</v>
      </c>
      <c r="P102">
        <v>16.559999999999999</v>
      </c>
      <c r="Q102">
        <v>0</v>
      </c>
      <c r="R102">
        <v>1613</v>
      </c>
      <c r="S102">
        <v>256.82</v>
      </c>
      <c r="T102">
        <v>4</v>
      </c>
      <c r="U102">
        <v>0.64</v>
      </c>
      <c r="V102">
        <v>0</v>
      </c>
      <c r="W102" t="s">
        <v>19</v>
      </c>
    </row>
    <row r="103" spans="1:23" x14ac:dyDescent="0.35">
      <c r="A103" t="s">
        <v>123</v>
      </c>
      <c r="B103" t="str">
        <f t="shared" si="1"/>
        <v>Finland</v>
      </c>
      <c r="C103" t="str">
        <f>VLOOKUP(B103,'Literacy Rate'!B101:C308,2,0)</f>
        <v>..</v>
      </c>
      <c r="D103" t="e">
        <f>VLOOKUP(B103,'Life expectancy index'!B101:C308,2,0)</f>
        <v>#N/A</v>
      </c>
      <c r="E103" t="e">
        <f>VLOOKUP(A103,'Internet users, total (% of pop'!B101:C312,2,0)</f>
        <v>#N/A</v>
      </c>
      <c r="F103" t="e">
        <f>VLOOKUP(B103,'Income Index'!B101:C308,2,0)</f>
        <v>#N/A</v>
      </c>
      <c r="G103" t="e">
        <f>VLOOKUP(A103,'Human Development Index (HDI)	'!B101:C306,2,0)</f>
        <v>#N/A</v>
      </c>
      <c r="H103" t="e">
        <f>VLOOKUP(B103,'Government expenditure on educa'!B101:C309,2,0)</f>
        <v>#N/A</v>
      </c>
      <c r="I103" t="e">
        <f>VLOOKUP(B103,'GDP per capita (2017 PPP $)'!B101:C309,2,0)</f>
        <v>#N/A</v>
      </c>
      <c r="J103" t="e">
        <f>VLOOKUP(B103,'Forest area (% of total land ar'!B101:C311,2,0)</f>
        <v>#N/A</v>
      </c>
      <c r="L103" t="s">
        <v>22</v>
      </c>
      <c r="M103">
        <v>96180</v>
      </c>
      <c r="N103">
        <v>1740.72</v>
      </c>
      <c r="O103">
        <v>1461</v>
      </c>
      <c r="P103">
        <v>26.44</v>
      </c>
      <c r="Q103">
        <v>216</v>
      </c>
      <c r="R103">
        <v>973</v>
      </c>
      <c r="S103">
        <v>17.61</v>
      </c>
      <c r="T103">
        <v>1</v>
      </c>
      <c r="U103">
        <v>0.02</v>
      </c>
      <c r="V103">
        <v>0</v>
      </c>
      <c r="W103" t="s">
        <v>19</v>
      </c>
    </row>
    <row r="104" spans="1:23" x14ac:dyDescent="0.35">
      <c r="A104" t="s">
        <v>124</v>
      </c>
      <c r="B104" t="str">
        <f t="shared" si="1"/>
        <v>Ghana</v>
      </c>
      <c r="C104" t="e">
        <f>VLOOKUP(B104,'Literacy Rate'!B102:C309,2,0)</f>
        <v>#N/A</v>
      </c>
      <c r="D104" t="e">
        <f>VLOOKUP(B104,'Life expectancy index'!B102:C309,2,0)</f>
        <v>#N/A</v>
      </c>
      <c r="E104" t="e">
        <f>VLOOKUP(A104,'Internet users, total (% of pop'!B102:C313,2,0)</f>
        <v>#N/A</v>
      </c>
      <c r="F104" t="e">
        <f>VLOOKUP(B104,'Income Index'!B102:C309,2,0)</f>
        <v>#N/A</v>
      </c>
      <c r="G104" t="e">
        <f>VLOOKUP(A104,'Human Development Index (HDI)	'!B102:C307,2,0)</f>
        <v>#N/A</v>
      </c>
      <c r="H104" t="e">
        <f>VLOOKUP(B104,'Government expenditure on educa'!B102:C310,2,0)</f>
        <v>#N/A</v>
      </c>
      <c r="I104" t="e">
        <f>VLOOKUP(B104,'GDP per capita (2017 PPP $)'!B102:C310,2,0)</f>
        <v>#N/A</v>
      </c>
      <c r="J104" t="e">
        <f>VLOOKUP(B104,'Forest area (% of total land ar'!B102:C312,2,0)</f>
        <v>#N/A</v>
      </c>
      <c r="L104" t="s">
        <v>39</v>
      </c>
      <c r="M104">
        <v>95914</v>
      </c>
      <c r="N104">
        <v>308.67</v>
      </c>
      <c r="O104">
        <v>655</v>
      </c>
      <c r="P104">
        <v>2.11</v>
      </c>
      <c r="Q104">
        <v>0</v>
      </c>
      <c r="R104">
        <v>796</v>
      </c>
      <c r="S104">
        <v>2.56</v>
      </c>
      <c r="T104">
        <v>2</v>
      </c>
      <c r="U104">
        <v>0.01</v>
      </c>
      <c r="V104">
        <v>0</v>
      </c>
      <c r="W104" t="s">
        <v>16</v>
      </c>
    </row>
    <row r="105" spans="1:23" x14ac:dyDescent="0.35">
      <c r="A105" t="s">
        <v>125</v>
      </c>
      <c r="B105" t="str">
        <f t="shared" si="1"/>
        <v>Namibia</v>
      </c>
      <c r="C105" t="e">
        <f>VLOOKUP(B105,'Literacy Rate'!B103:C310,2,0)</f>
        <v>#N/A</v>
      </c>
      <c r="D105">
        <f>VLOOKUP(B105,'Life expectancy index'!B103:C310,2,0)</f>
        <v>0.67200000000000004</v>
      </c>
      <c r="E105">
        <f>VLOOKUP(A105,'Internet users, total (% of pop'!B103:C314,2,0)</f>
        <v>51</v>
      </c>
      <c r="F105">
        <f>VLOOKUP(B105,'Income Index'!B103:C310,2,0)</f>
        <v>0.68600000000000005</v>
      </c>
      <c r="G105">
        <f>VLOOKUP(A105,'Human Development Index (HDI)	'!B103:C308,2,0)</f>
        <v>0.64600000000000002</v>
      </c>
      <c r="H105">
        <f>VLOOKUP(B105,'Government expenditure on educa'!B103:C311,2,0)</f>
        <v>3.1</v>
      </c>
      <c r="I105">
        <f>VLOOKUP(B105,'GDP per capita (2017 PPP $)'!B103:C311,2,0)</f>
        <v>9637</v>
      </c>
      <c r="J105">
        <f>VLOOKUP(B105,'Forest area (% of total land ar'!B103:C313,2,0)</f>
        <v>8.3000000000000007</v>
      </c>
      <c r="L105" t="s">
        <v>39</v>
      </c>
      <c r="M105">
        <v>92869</v>
      </c>
      <c r="N105">
        <v>3654.96</v>
      </c>
      <c r="O105">
        <v>11599</v>
      </c>
      <c r="P105">
        <v>456.49</v>
      </c>
      <c r="Q105">
        <v>2952</v>
      </c>
      <c r="R105">
        <v>1586</v>
      </c>
      <c r="S105">
        <v>62.42</v>
      </c>
      <c r="T105">
        <v>281</v>
      </c>
      <c r="U105">
        <v>11.06</v>
      </c>
      <c r="V105">
        <v>65</v>
      </c>
      <c r="W105" t="s">
        <v>16</v>
      </c>
    </row>
    <row r="106" spans="1:23" x14ac:dyDescent="0.35">
      <c r="A106" t="s">
        <v>126</v>
      </c>
      <c r="B106" t="str">
        <f t="shared" si="1"/>
        <v>Uganda</v>
      </c>
      <c r="C106">
        <f>VLOOKUP(B106,'Literacy Rate'!B104:C311,2,0)</f>
        <v>76.5</v>
      </c>
      <c r="D106">
        <f>VLOOKUP(B106,'Life expectancy index'!B104:C311,2,0)</f>
        <v>0.66700000000000004</v>
      </c>
      <c r="E106">
        <f>VLOOKUP(A106,'Internet users, total (% of pop'!B104:C315,2,0)</f>
        <v>23.7</v>
      </c>
      <c r="F106">
        <f>VLOOKUP(B106,'Income Index'!B104:C311,2,0)</f>
        <v>0.46200000000000002</v>
      </c>
      <c r="G106">
        <f>VLOOKUP(A106,'Human Development Index (HDI)	'!B104:C309,2,0)</f>
        <v>0.54400000000000004</v>
      </c>
      <c r="H106">
        <f>VLOOKUP(B106,'Government expenditure on educa'!B104:C312,2,0)</f>
        <v>2.5</v>
      </c>
      <c r="I106">
        <f>VLOOKUP(B106,'GDP per capita (2017 PPP $)'!B104:C312,2,0)</f>
        <v>2181</v>
      </c>
      <c r="J106">
        <f>VLOOKUP(B106,'Forest area (% of total land ar'!B104:C314,2,0)</f>
        <v>9.6999999999999993</v>
      </c>
      <c r="L106" t="s">
        <v>39</v>
      </c>
      <c r="M106">
        <v>82083</v>
      </c>
      <c r="N106">
        <v>179.45</v>
      </c>
      <c r="O106">
        <v>6546</v>
      </c>
      <c r="P106">
        <v>14.31</v>
      </c>
      <c r="Q106">
        <v>2106</v>
      </c>
      <c r="R106">
        <v>1127</v>
      </c>
      <c r="S106">
        <v>2.46</v>
      </c>
      <c r="T106">
        <v>346</v>
      </c>
      <c r="U106">
        <v>0.76</v>
      </c>
      <c r="V106">
        <v>104</v>
      </c>
      <c r="W106" t="s">
        <v>16</v>
      </c>
    </row>
    <row r="107" spans="1:23" x14ac:dyDescent="0.35">
      <c r="A107" t="s">
        <v>127</v>
      </c>
      <c r="B107" t="str">
        <f t="shared" si="1"/>
        <v>Cameroon</v>
      </c>
      <c r="C107" t="e">
        <f>VLOOKUP(B107,'Literacy Rate'!B105:C312,2,0)</f>
        <v>#N/A</v>
      </c>
      <c r="D107" t="e">
        <f>VLOOKUP(B107,'Life expectancy index'!B105:C312,2,0)</f>
        <v>#N/A</v>
      </c>
      <c r="E107" t="e">
        <f>VLOOKUP(A107,'Internet users, total (% of pop'!B105:C316,2,0)</f>
        <v>#N/A</v>
      </c>
      <c r="F107" t="e">
        <f>VLOOKUP(B107,'Income Index'!B105:C312,2,0)</f>
        <v>#N/A</v>
      </c>
      <c r="G107" t="e">
        <f>VLOOKUP(A107,'Human Development Index (HDI)	'!B105:C310,2,0)</f>
        <v>#N/A</v>
      </c>
      <c r="H107" t="e">
        <f>VLOOKUP(B107,'Government expenditure on educa'!B105:C313,2,0)</f>
        <v>#N/A</v>
      </c>
      <c r="I107" t="e">
        <f>VLOOKUP(B107,'GDP per capita (2017 PPP $)'!B105:C313,2,0)</f>
        <v>#N/A</v>
      </c>
      <c r="J107" t="e">
        <f>VLOOKUP(B107,'Forest area (% of total land ar'!B105:C315,2,0)</f>
        <v>#N/A</v>
      </c>
      <c r="L107" t="s">
        <v>39</v>
      </c>
      <c r="M107">
        <v>80858</v>
      </c>
      <c r="N107">
        <v>304.60000000000002</v>
      </c>
      <c r="O107">
        <v>371</v>
      </c>
      <c r="P107">
        <v>1.4</v>
      </c>
      <c r="Q107">
        <v>0</v>
      </c>
      <c r="R107">
        <v>1324</v>
      </c>
      <c r="S107">
        <v>4.99</v>
      </c>
      <c r="T107">
        <v>4</v>
      </c>
      <c r="U107">
        <v>0.02</v>
      </c>
      <c r="V107">
        <v>0</v>
      </c>
      <c r="W107" t="s">
        <v>16</v>
      </c>
    </row>
    <row r="108" spans="1:23" x14ac:dyDescent="0.35">
      <c r="A108" t="s">
        <v>128</v>
      </c>
      <c r="B108" t="str">
        <f t="shared" si="1"/>
        <v>El Salvador</v>
      </c>
      <c r="C108" t="e">
        <f>VLOOKUP(B108,'Literacy Rate'!B106:C313,2,0)</f>
        <v>#N/A</v>
      </c>
      <c r="D108" t="e">
        <f>VLOOKUP(B108,'Life expectancy index'!B106:C313,2,0)</f>
        <v>#N/A</v>
      </c>
      <c r="E108" t="e">
        <f>VLOOKUP(A108,'Internet users, total (% of pop'!B106:C317,2,0)</f>
        <v>#N/A</v>
      </c>
      <c r="F108" t="e">
        <f>VLOOKUP(B108,'Income Index'!B106:C313,2,0)</f>
        <v>#N/A</v>
      </c>
      <c r="G108" t="e">
        <f>VLOOKUP(A108,'Human Development Index (HDI)	'!B106:C311,2,0)</f>
        <v>#N/A</v>
      </c>
      <c r="H108" t="e">
        <f>VLOOKUP(B108,'Government expenditure on educa'!B106:C314,2,0)</f>
        <v>#N/A</v>
      </c>
      <c r="I108" t="e">
        <f>VLOOKUP(B108,'GDP per capita (2017 PPP $)'!B106:C314,2,0)</f>
        <v>#N/A</v>
      </c>
      <c r="J108" t="e">
        <f>VLOOKUP(B108,'Forest area (% of total land ar'!B106:C316,2,0)</f>
        <v>#N/A</v>
      </c>
      <c r="L108" t="s">
        <v>15</v>
      </c>
      <c r="M108">
        <v>78766</v>
      </c>
      <c r="N108">
        <v>1214.3599999999999</v>
      </c>
      <c r="O108">
        <v>1282</v>
      </c>
      <c r="P108">
        <v>19.77</v>
      </c>
      <c r="Q108">
        <v>0</v>
      </c>
      <c r="R108">
        <v>2387</v>
      </c>
      <c r="S108">
        <v>36.799999999999997</v>
      </c>
      <c r="T108">
        <v>36</v>
      </c>
      <c r="U108">
        <v>0.56000000000000005</v>
      </c>
      <c r="V108">
        <v>6</v>
      </c>
      <c r="W108" t="s">
        <v>16</v>
      </c>
    </row>
    <row r="109" spans="1:23" x14ac:dyDescent="0.35">
      <c r="A109" t="s">
        <v>129</v>
      </c>
      <c r="B109" t="str">
        <f t="shared" si="1"/>
        <v>Mozambique</v>
      </c>
      <c r="C109" t="e">
        <f>VLOOKUP(B109,'Literacy Rate'!B107:C314,2,0)</f>
        <v>#N/A</v>
      </c>
      <c r="D109">
        <f>VLOOKUP(B109,'Life expectancy index'!B107:C314,2,0)</f>
        <v>0.628</v>
      </c>
      <c r="E109">
        <f>VLOOKUP(A109,'Internet users, total (% of pop'!B107:C318,2,0)</f>
        <v>10</v>
      </c>
      <c r="F109">
        <f>VLOOKUP(B109,'Income Index'!B107:C314,2,0)</f>
        <v>0.38200000000000001</v>
      </c>
      <c r="G109">
        <f>VLOOKUP(A109,'Human Development Index (HDI)	'!B107:C312,2,0)</f>
        <v>0.45600000000000002</v>
      </c>
      <c r="H109">
        <f>VLOOKUP(B109,'Government expenditure on educa'!B107:C315,2,0)</f>
        <v>5.6</v>
      </c>
      <c r="I109">
        <f>VLOOKUP(B109,'GDP per capita (2017 PPP $)'!B107:C315,2,0)</f>
        <v>1280</v>
      </c>
      <c r="J109">
        <f>VLOOKUP(B109,'Forest area (% of total land ar'!B107:C317,2,0)</f>
        <v>48</v>
      </c>
      <c r="L109" t="s">
        <v>39</v>
      </c>
      <c r="M109">
        <v>77205</v>
      </c>
      <c r="N109">
        <v>247.01</v>
      </c>
      <c r="O109">
        <v>3553</v>
      </c>
      <c r="P109">
        <v>11.37</v>
      </c>
      <c r="Q109">
        <v>801</v>
      </c>
      <c r="R109">
        <v>884</v>
      </c>
      <c r="S109">
        <v>2.83</v>
      </c>
      <c r="T109">
        <v>21</v>
      </c>
      <c r="U109">
        <v>7.0000000000000007E-2</v>
      </c>
      <c r="V109">
        <v>6</v>
      </c>
      <c r="W109" t="s">
        <v>16</v>
      </c>
    </row>
    <row r="110" spans="1:23" x14ac:dyDescent="0.35">
      <c r="A110" t="s">
        <v>130</v>
      </c>
      <c r="B110" t="str">
        <f t="shared" si="1"/>
        <v>Cyprus</v>
      </c>
      <c r="C110" t="e">
        <f>VLOOKUP(B110,'Literacy Rate'!B108:C315,2,0)</f>
        <v>#N/A</v>
      </c>
      <c r="D110" t="e">
        <f>VLOOKUP(B110,'Life expectancy index'!B108:C315,2,0)</f>
        <v>#N/A</v>
      </c>
      <c r="E110" t="e">
        <f>VLOOKUP(A110,'Internet users, total (% of pop'!B108:C319,2,0)</f>
        <v>#N/A</v>
      </c>
      <c r="F110" t="e">
        <f>VLOOKUP(B110,'Income Index'!B108:C315,2,0)</f>
        <v>#N/A</v>
      </c>
      <c r="G110" t="e">
        <f>VLOOKUP(A110,'Human Development Index (HDI)	'!B108:C313,2,0)</f>
        <v>#N/A</v>
      </c>
      <c r="H110" t="e">
        <f>VLOOKUP(B110,'Government expenditure on educa'!B108:C316,2,0)</f>
        <v>#N/A</v>
      </c>
      <c r="I110" t="e">
        <f>VLOOKUP(B110,'GDP per capita (2017 PPP $)'!B108:C316,2,0)</f>
        <v>#N/A</v>
      </c>
      <c r="J110" t="e">
        <f>VLOOKUP(B110,'Forest area (% of total land ar'!B108:C318,2,0)</f>
        <v>#N/A</v>
      </c>
      <c r="L110" t="s">
        <v>22</v>
      </c>
      <c r="M110">
        <v>76333</v>
      </c>
      <c r="N110">
        <v>8596.01</v>
      </c>
      <c r="O110">
        <v>2159</v>
      </c>
      <c r="P110">
        <v>243.13</v>
      </c>
      <c r="Q110">
        <v>473</v>
      </c>
      <c r="R110">
        <v>374</v>
      </c>
      <c r="S110">
        <v>42.12</v>
      </c>
      <c r="T110">
        <v>0</v>
      </c>
      <c r="U110">
        <v>0</v>
      </c>
      <c r="V110">
        <v>0</v>
      </c>
      <c r="W110" t="s">
        <v>19</v>
      </c>
    </row>
    <row r="111" spans="1:23" x14ac:dyDescent="0.35">
      <c r="A111" t="s">
        <v>131</v>
      </c>
      <c r="B111" t="str">
        <f t="shared" si="1"/>
        <v>Maldives</v>
      </c>
      <c r="C111" t="e">
        <f>VLOOKUP(B111,'Literacy Rate'!B109:C316,2,0)</f>
        <v>#N/A</v>
      </c>
      <c r="D111" t="e">
        <f>VLOOKUP(B111,'Life expectancy index'!B109:C316,2,0)</f>
        <v>#N/A</v>
      </c>
      <c r="E111" t="e">
        <f>VLOOKUP(A111,'Internet users, total (% of pop'!B109:C320,2,0)</f>
        <v>#N/A</v>
      </c>
      <c r="F111" t="e">
        <f>VLOOKUP(B111,'Income Index'!B109:C316,2,0)</f>
        <v>#N/A</v>
      </c>
      <c r="G111" t="e">
        <f>VLOOKUP(A111,'Human Development Index (HDI)	'!B109:C314,2,0)</f>
        <v>#N/A</v>
      </c>
      <c r="H111" t="e">
        <f>VLOOKUP(B111,'Government expenditure on educa'!B109:C317,2,0)</f>
        <v>#N/A</v>
      </c>
      <c r="I111" t="e">
        <f>VLOOKUP(B111,'GDP per capita (2017 PPP $)'!B109:C317,2,0)</f>
        <v>#N/A</v>
      </c>
      <c r="J111" t="e">
        <f>VLOOKUP(B111,'Forest area (% of total land ar'!B109:C319,2,0)</f>
        <v>#N/A</v>
      </c>
      <c r="L111" t="s">
        <v>18</v>
      </c>
      <c r="M111">
        <v>73931</v>
      </c>
      <c r="N111">
        <v>13677.15</v>
      </c>
      <c r="O111">
        <v>987</v>
      </c>
      <c r="P111">
        <v>182.59</v>
      </c>
      <c r="Q111">
        <v>0</v>
      </c>
      <c r="R111">
        <v>213</v>
      </c>
      <c r="S111">
        <v>39.4</v>
      </c>
      <c r="T111">
        <v>5</v>
      </c>
      <c r="U111">
        <v>0.92</v>
      </c>
      <c r="V111">
        <v>0</v>
      </c>
      <c r="W111" t="s">
        <v>19</v>
      </c>
    </row>
    <row r="112" spans="1:23" x14ac:dyDescent="0.35">
      <c r="A112" t="s">
        <v>132</v>
      </c>
      <c r="B112" t="str">
        <f t="shared" si="1"/>
        <v>Botswana</v>
      </c>
      <c r="C112" t="e">
        <f>VLOOKUP(B112,'Literacy Rate'!B110:C317,2,0)</f>
        <v>#N/A</v>
      </c>
      <c r="D112" t="e">
        <f>VLOOKUP(B112,'Life expectancy index'!B110:C317,2,0)</f>
        <v>#N/A</v>
      </c>
      <c r="E112" t="e">
        <f>VLOOKUP(A112,'Internet users, total (% of pop'!B110:C321,2,0)</f>
        <v>#N/A</v>
      </c>
      <c r="F112" t="e">
        <f>VLOOKUP(B112,'Income Index'!B110:C317,2,0)</f>
        <v>#N/A</v>
      </c>
      <c r="G112" t="e">
        <f>VLOOKUP(A112,'Human Development Index (HDI)	'!B110:C315,2,0)</f>
        <v>#N/A</v>
      </c>
      <c r="H112" t="e">
        <f>VLOOKUP(B112,'Government expenditure on educa'!B110:C318,2,0)</f>
        <v>#N/A</v>
      </c>
      <c r="I112" t="e">
        <f>VLOOKUP(B112,'GDP per capita (2017 PPP $)'!B110:C318,2,0)</f>
        <v>#N/A</v>
      </c>
      <c r="J112" t="e">
        <f>VLOOKUP(B112,'Forest area (% of total land ar'!B110:C320,2,0)</f>
        <v>#N/A</v>
      </c>
      <c r="L112" t="s">
        <v>39</v>
      </c>
      <c r="M112">
        <v>71443</v>
      </c>
      <c r="N112">
        <v>3038.02</v>
      </c>
      <c r="O112">
        <v>1372</v>
      </c>
      <c r="P112">
        <v>58.34</v>
      </c>
      <c r="Q112">
        <v>1372</v>
      </c>
      <c r="R112">
        <v>1158</v>
      </c>
      <c r="S112">
        <v>49.24</v>
      </c>
      <c r="T112">
        <v>63</v>
      </c>
      <c r="U112">
        <v>2.68</v>
      </c>
      <c r="V112">
        <v>33</v>
      </c>
      <c r="W112" t="s">
        <v>16</v>
      </c>
    </row>
    <row r="113" spans="1:23" x14ac:dyDescent="0.35">
      <c r="A113" t="s">
        <v>133</v>
      </c>
      <c r="B113" t="str">
        <f t="shared" si="1"/>
        <v>Luxembourg</v>
      </c>
      <c r="C113" t="str">
        <f>VLOOKUP(B113,'Literacy Rate'!B111:C318,2,0)</f>
        <v>..</v>
      </c>
      <c r="D113" t="e">
        <f>VLOOKUP(B113,'Life expectancy index'!B111:C318,2,0)</f>
        <v>#N/A</v>
      </c>
      <c r="E113" t="e">
        <f>VLOOKUP(A113,'Internet users, total (% of pop'!B111:C322,2,0)</f>
        <v>#N/A</v>
      </c>
      <c r="F113" t="e">
        <f>VLOOKUP(B113,'Income Index'!B111:C318,2,0)</f>
        <v>#N/A</v>
      </c>
      <c r="G113" t="e">
        <f>VLOOKUP(A113,'Human Development Index (HDI)	'!B111:C316,2,0)</f>
        <v>#N/A</v>
      </c>
      <c r="H113" t="e">
        <f>VLOOKUP(B113,'Government expenditure on educa'!B111:C319,2,0)</f>
        <v>#N/A</v>
      </c>
      <c r="I113" t="e">
        <f>VLOOKUP(B113,'GDP per capita (2017 PPP $)'!B111:C319,2,0)</f>
        <v>#N/A</v>
      </c>
      <c r="J113" t="e">
        <f>VLOOKUP(B113,'Forest area (% of total land ar'!B111:C321,2,0)</f>
        <v>#N/A</v>
      </c>
      <c r="L113" t="s">
        <v>22</v>
      </c>
      <c r="M113">
        <v>70895</v>
      </c>
      <c r="N113">
        <v>11323.13</v>
      </c>
      <c r="O113">
        <v>309</v>
      </c>
      <c r="P113">
        <v>49.35</v>
      </c>
      <c r="Q113">
        <v>108</v>
      </c>
      <c r="R113">
        <v>818</v>
      </c>
      <c r="S113">
        <v>130.65</v>
      </c>
      <c r="T113">
        <v>0</v>
      </c>
      <c r="U113">
        <v>0</v>
      </c>
      <c r="V113">
        <v>0</v>
      </c>
      <c r="W113" t="s">
        <v>16</v>
      </c>
    </row>
    <row r="114" spans="1:23" x14ac:dyDescent="0.35">
      <c r="A114" t="s">
        <v>134</v>
      </c>
      <c r="B114" t="str">
        <f t="shared" si="1"/>
        <v>Singapore</v>
      </c>
      <c r="C114">
        <f>VLOOKUP(B114,'Literacy Rate'!B112:C319,2,0)</f>
        <v>97.3</v>
      </c>
      <c r="D114">
        <f>VLOOKUP(B114,'Life expectancy index'!B112:C319,2,0)</f>
        <v>0.97899999999999998</v>
      </c>
      <c r="E114">
        <f>VLOOKUP(A114,'Internet users, total (% of pop'!B112:C323,2,0)</f>
        <v>88.2</v>
      </c>
      <c r="F114">
        <f>VLOOKUP(B114,'Income Index'!B112:C319,2,0)</f>
        <v>1</v>
      </c>
      <c r="G114">
        <f>VLOOKUP(A114,'Human Development Index (HDI)	'!B112:C317,2,0)</f>
        <v>0.93799999999999994</v>
      </c>
      <c r="H114">
        <f>VLOOKUP(B114,'Government expenditure on educa'!B112:C320,2,0)</f>
        <v>2.9</v>
      </c>
      <c r="I114">
        <f>VLOOKUP(B114,'GDP per capita (2017 PPP $)'!B112:C320,2,0)</f>
        <v>97341</v>
      </c>
      <c r="J114">
        <f>VLOOKUP(B114,'Forest area (% of total land ar'!B112:C322,2,0)</f>
        <v>23.1</v>
      </c>
      <c r="L114" t="s">
        <v>44</v>
      </c>
      <c r="M114">
        <v>62589</v>
      </c>
      <c r="N114">
        <v>1069.83</v>
      </c>
      <c r="O114">
        <v>96</v>
      </c>
      <c r="P114">
        <v>1.64</v>
      </c>
      <c r="Q114">
        <v>10</v>
      </c>
      <c r="R114">
        <v>36</v>
      </c>
      <c r="S114">
        <v>0.62</v>
      </c>
      <c r="T114">
        <v>1</v>
      </c>
      <c r="U114">
        <v>0.02</v>
      </c>
      <c r="V114">
        <v>0</v>
      </c>
      <c r="W114" t="s">
        <v>109</v>
      </c>
    </row>
    <row r="115" spans="1:23" x14ac:dyDescent="0.35">
      <c r="A115" t="s">
        <v>135</v>
      </c>
      <c r="B115" t="str">
        <f t="shared" si="1"/>
        <v>Cambodia</v>
      </c>
      <c r="C115" t="e">
        <f>VLOOKUP(B115,'Literacy Rate'!B113:C320,2,0)</f>
        <v>#N/A</v>
      </c>
      <c r="D115" t="e">
        <f>VLOOKUP(B115,'Life expectancy index'!B113:C320,2,0)</f>
        <v>#N/A</v>
      </c>
      <c r="E115" t="e">
        <f>VLOOKUP(A115,'Internet users, total (% of pop'!B113:C324,2,0)</f>
        <v>#N/A</v>
      </c>
      <c r="F115" t="e">
        <f>VLOOKUP(B115,'Income Index'!B113:C320,2,0)</f>
        <v>#N/A</v>
      </c>
      <c r="G115" t="e">
        <f>VLOOKUP(A115,'Human Development Index (HDI)	'!B113:C318,2,0)</f>
        <v>#N/A</v>
      </c>
      <c r="H115" t="e">
        <f>VLOOKUP(B115,'Government expenditure on educa'!B113:C321,2,0)</f>
        <v>#N/A</v>
      </c>
      <c r="I115" t="e">
        <f>VLOOKUP(B115,'GDP per capita (2017 PPP $)'!B113:C321,2,0)</f>
        <v>#N/A</v>
      </c>
      <c r="J115" t="e">
        <f>VLOOKUP(B115,'Forest area (% of total land ar'!B113:C323,2,0)</f>
        <v>#N/A</v>
      </c>
      <c r="L115" t="s">
        <v>44</v>
      </c>
      <c r="M115">
        <v>51384</v>
      </c>
      <c r="N115">
        <v>307.33999999999997</v>
      </c>
      <c r="O115">
        <v>6018</v>
      </c>
      <c r="P115">
        <v>36</v>
      </c>
      <c r="Q115">
        <v>999</v>
      </c>
      <c r="R115">
        <v>628</v>
      </c>
      <c r="S115">
        <v>3.76</v>
      </c>
      <c r="T115">
        <v>135</v>
      </c>
      <c r="U115">
        <v>0.81</v>
      </c>
      <c r="V115">
        <v>26</v>
      </c>
      <c r="W115" t="s">
        <v>109</v>
      </c>
    </row>
    <row r="116" spans="1:23" x14ac:dyDescent="0.35">
      <c r="A116" t="s">
        <v>136</v>
      </c>
      <c r="B116" t="str">
        <f t="shared" si="1"/>
        <v>Zimbabwe</v>
      </c>
      <c r="C116">
        <f>VLOOKUP(B116,'Literacy Rate'!B114:C321,2,0)</f>
        <v>88.7</v>
      </c>
      <c r="D116">
        <f>VLOOKUP(B116,'Life expectancy index'!B114:C321,2,0)</f>
        <v>0.63800000000000001</v>
      </c>
      <c r="E116">
        <f>VLOOKUP(A116,'Internet users, total (% of pop'!B114:C325,2,0)</f>
        <v>27.1</v>
      </c>
      <c r="F116">
        <f>VLOOKUP(B116,'Income Index'!B114:C321,2,0)</f>
        <v>0.496</v>
      </c>
      <c r="G116">
        <f>VLOOKUP(A116,'Human Development Index (HDI)	'!B114:C319,2,0)</f>
        <v>0.57099999999999995</v>
      </c>
      <c r="H116">
        <f>VLOOKUP(B116,'Government expenditure on educa'!B114:C322,2,0)</f>
        <v>4.5999999999999996</v>
      </c>
      <c r="I116">
        <f>VLOOKUP(B116,'GDP per capita (2017 PPP $)'!B114:C322,2,0)</f>
        <v>2836</v>
      </c>
      <c r="J116">
        <f>VLOOKUP(B116,'Forest area (% of total land ar'!B114:C324,2,0)</f>
        <v>35.5</v>
      </c>
      <c r="L116" t="s">
        <v>39</v>
      </c>
      <c r="M116">
        <v>51221</v>
      </c>
      <c r="N116">
        <v>344.62</v>
      </c>
      <c r="O116">
        <v>6915</v>
      </c>
      <c r="P116">
        <v>46.53</v>
      </c>
      <c r="Q116">
        <v>1357</v>
      </c>
      <c r="R116">
        <v>1808</v>
      </c>
      <c r="S116">
        <v>12.16</v>
      </c>
      <c r="T116">
        <v>99</v>
      </c>
      <c r="U116">
        <v>0.67</v>
      </c>
      <c r="V116">
        <v>19</v>
      </c>
      <c r="W116" t="s">
        <v>16</v>
      </c>
    </row>
    <row r="117" spans="1:23" x14ac:dyDescent="0.35">
      <c r="A117" t="s">
        <v>137</v>
      </c>
      <c r="B117" t="str">
        <f t="shared" si="1"/>
        <v>Jamaica</v>
      </c>
      <c r="C117" t="e">
        <f>VLOOKUP(B117,'Literacy Rate'!B115:C322,2,0)</f>
        <v>#N/A</v>
      </c>
      <c r="D117" t="e">
        <f>VLOOKUP(B117,'Life expectancy index'!B115:C322,2,0)</f>
        <v>#N/A</v>
      </c>
      <c r="E117" t="e">
        <f>VLOOKUP(A117,'Internet users, total (% of pop'!B115:C326,2,0)</f>
        <v>#N/A</v>
      </c>
      <c r="F117" t="e">
        <f>VLOOKUP(B117,'Income Index'!B115:C322,2,0)</f>
        <v>#N/A</v>
      </c>
      <c r="G117" t="e">
        <f>VLOOKUP(A117,'Human Development Index (HDI)	'!B115:C320,2,0)</f>
        <v>#N/A</v>
      </c>
      <c r="H117" t="e">
        <f>VLOOKUP(B117,'Government expenditure on educa'!B115:C323,2,0)</f>
        <v>#N/A</v>
      </c>
      <c r="I117" t="e">
        <f>VLOOKUP(B117,'GDP per capita (2017 PPP $)'!B115:C323,2,0)</f>
        <v>#N/A</v>
      </c>
      <c r="J117" t="e">
        <f>VLOOKUP(B117,'Forest area (% of total land ar'!B115:C325,2,0)</f>
        <v>#N/A</v>
      </c>
      <c r="L117" t="s">
        <v>15</v>
      </c>
      <c r="M117">
        <v>50166</v>
      </c>
      <c r="N117">
        <v>1694.13</v>
      </c>
      <c r="O117">
        <v>325</v>
      </c>
      <c r="P117">
        <v>10.98</v>
      </c>
      <c r="Q117">
        <v>42</v>
      </c>
      <c r="R117">
        <v>1080</v>
      </c>
      <c r="S117">
        <v>36.47</v>
      </c>
      <c r="T117">
        <v>31</v>
      </c>
      <c r="U117">
        <v>1.05</v>
      </c>
      <c r="V117">
        <v>5</v>
      </c>
      <c r="W117" t="s">
        <v>16</v>
      </c>
    </row>
    <row r="118" spans="1:23" x14ac:dyDescent="0.35">
      <c r="A118" t="s">
        <v>138</v>
      </c>
      <c r="B118" t="str">
        <f t="shared" si="1"/>
        <v>Côte d’Ivoire</v>
      </c>
      <c r="C118" t="e">
        <f>VLOOKUP(B118,'Literacy Rate'!B116:C323,2,0)</f>
        <v>#N/A</v>
      </c>
      <c r="D118" t="e">
        <f>VLOOKUP(B118,'Life expectancy index'!B116:C323,2,0)</f>
        <v>#N/A</v>
      </c>
      <c r="E118" t="e">
        <f>VLOOKUP(A118,'Internet users, total (% of pop'!B116:C327,2,0)</f>
        <v>#N/A</v>
      </c>
      <c r="F118" t="e">
        <f>VLOOKUP(B118,'Income Index'!B116:C323,2,0)</f>
        <v>#N/A</v>
      </c>
      <c r="G118" t="e">
        <f>VLOOKUP(A118,'Human Development Index (HDI)	'!B116:C321,2,0)</f>
        <v>#N/A</v>
      </c>
      <c r="H118" t="e">
        <f>VLOOKUP(B118,'Government expenditure on educa'!B116:C324,2,0)</f>
        <v>#N/A</v>
      </c>
      <c r="I118" t="e">
        <f>VLOOKUP(B118,'GDP per capita (2017 PPP $)'!B116:C324,2,0)</f>
        <v>#N/A</v>
      </c>
      <c r="J118" t="e">
        <f>VLOOKUP(B118,'Forest area (% of total land ar'!B116:C326,2,0)</f>
        <v>#N/A</v>
      </c>
      <c r="L118" t="s">
        <v>39</v>
      </c>
      <c r="M118">
        <v>48378</v>
      </c>
      <c r="N118">
        <v>183.4</v>
      </c>
      <c r="O118">
        <v>320</v>
      </c>
      <c r="P118">
        <v>1.21</v>
      </c>
      <c r="Q118">
        <v>73</v>
      </c>
      <c r="R118">
        <v>315</v>
      </c>
      <c r="S118">
        <v>1.19</v>
      </c>
      <c r="T118">
        <v>6</v>
      </c>
      <c r="U118">
        <v>0.02</v>
      </c>
      <c r="V118">
        <v>2</v>
      </c>
      <c r="W118" t="s">
        <v>16</v>
      </c>
    </row>
    <row r="119" spans="1:23" x14ac:dyDescent="0.35">
      <c r="A119" t="s">
        <v>139</v>
      </c>
      <c r="B119" t="str">
        <f t="shared" si="1"/>
        <v>Senegal</v>
      </c>
      <c r="C119">
        <f>VLOOKUP(B119,'Literacy Rate'!B117:C324,2,0)</f>
        <v>51.9</v>
      </c>
      <c r="D119">
        <f>VLOOKUP(B119,'Life expectancy index'!B117:C324,2,0)</f>
        <v>0.73799999999999999</v>
      </c>
      <c r="E119">
        <f>VLOOKUP(A119,'Internet users, total (% of pop'!B117:C328,2,0)</f>
        <v>46</v>
      </c>
      <c r="F119">
        <f>VLOOKUP(B119,'Income Index'!B117:C324,2,0)</f>
        <v>0.52900000000000003</v>
      </c>
      <c r="G119">
        <f>VLOOKUP(A119,'Human Development Index (HDI)	'!B117:C322,2,0)</f>
        <v>0.51200000000000001</v>
      </c>
      <c r="H119">
        <f>VLOOKUP(B119,'Government expenditure on educa'!B117:C325,2,0)</f>
        <v>4.7</v>
      </c>
      <c r="I119">
        <f>VLOOKUP(B119,'GDP per capita (2017 PPP $)'!B117:C325,2,0)</f>
        <v>3395</v>
      </c>
      <c r="J119">
        <f>VLOOKUP(B119,'Forest area (% of total land ar'!B117:C327,2,0)</f>
        <v>42.8</v>
      </c>
      <c r="L119" t="s">
        <v>39</v>
      </c>
      <c r="M119">
        <v>43263</v>
      </c>
      <c r="N119">
        <v>258.38</v>
      </c>
      <c r="O119">
        <v>586</v>
      </c>
      <c r="P119">
        <v>3.5</v>
      </c>
      <c r="Q119">
        <v>135</v>
      </c>
      <c r="R119">
        <v>1168</v>
      </c>
      <c r="S119">
        <v>6.98</v>
      </c>
      <c r="T119">
        <v>9</v>
      </c>
      <c r="U119">
        <v>0.05</v>
      </c>
      <c r="V119">
        <v>2</v>
      </c>
      <c r="W119" t="s">
        <v>16</v>
      </c>
    </row>
    <row r="120" spans="1:23" x14ac:dyDescent="0.35">
      <c r="A120" t="s">
        <v>140</v>
      </c>
      <c r="B120" t="str">
        <f t="shared" si="1"/>
        <v>Madagascar</v>
      </c>
      <c r="C120" t="e">
        <f>VLOOKUP(B120,'Literacy Rate'!B118:C325,2,0)</f>
        <v>#N/A</v>
      </c>
      <c r="D120" t="e">
        <f>VLOOKUP(B120,'Life expectancy index'!B118:C325,2,0)</f>
        <v>#N/A</v>
      </c>
      <c r="E120" t="e">
        <f>VLOOKUP(A120,'Internet users, total (% of pop'!B118:C329,2,0)</f>
        <v>#N/A</v>
      </c>
      <c r="F120" t="e">
        <f>VLOOKUP(B120,'Income Index'!B118:C325,2,0)</f>
        <v>#N/A</v>
      </c>
      <c r="G120" t="e">
        <f>VLOOKUP(A120,'Human Development Index (HDI)	'!B118:C323,2,0)</f>
        <v>#N/A</v>
      </c>
      <c r="H120" t="e">
        <f>VLOOKUP(B120,'Government expenditure on educa'!B118:C326,2,0)</f>
        <v>#N/A</v>
      </c>
      <c r="I120" t="e">
        <f>VLOOKUP(B120,'GDP per capita (2017 PPP $)'!B118:C326,2,0)</f>
        <v>#N/A</v>
      </c>
      <c r="J120" t="e">
        <f>VLOOKUP(B120,'Forest area (% of total land ar'!B118:C328,2,0)</f>
        <v>#N/A</v>
      </c>
      <c r="L120" t="s">
        <v>39</v>
      </c>
      <c r="M120">
        <v>42194</v>
      </c>
      <c r="N120">
        <v>152.37</v>
      </c>
      <c r="O120">
        <v>28</v>
      </c>
      <c r="P120">
        <v>0.1</v>
      </c>
      <c r="Q120">
        <v>0</v>
      </c>
      <c r="R120">
        <v>909</v>
      </c>
      <c r="S120">
        <v>3.28</v>
      </c>
      <c r="T120">
        <v>4</v>
      </c>
      <c r="U120">
        <v>0.01</v>
      </c>
      <c r="V120">
        <v>0</v>
      </c>
      <c r="W120" t="s">
        <v>16</v>
      </c>
    </row>
    <row r="121" spans="1:23" x14ac:dyDescent="0.35">
      <c r="A121" t="s">
        <v>141</v>
      </c>
      <c r="B121" t="str">
        <f t="shared" si="1"/>
        <v>Democratic Republic of the Congo</v>
      </c>
      <c r="C121" t="e">
        <f>VLOOKUP(B121,'Literacy Rate'!B119:C326,2,0)</f>
        <v>#N/A</v>
      </c>
      <c r="D121" t="e">
        <f>VLOOKUP(B121,'Life expectancy index'!B119:C326,2,0)</f>
        <v>#N/A</v>
      </c>
      <c r="E121" t="e">
        <f>VLOOKUP(A121,'Internet users, total (% of pop'!B119:C330,2,0)</f>
        <v>#N/A</v>
      </c>
      <c r="F121" t="e">
        <f>VLOOKUP(B121,'Income Index'!B119:C326,2,0)</f>
        <v>#N/A</v>
      </c>
      <c r="G121" t="e">
        <f>VLOOKUP(A121,'Human Development Index (HDI)	'!B119:C324,2,0)</f>
        <v>#N/A</v>
      </c>
      <c r="H121" t="e">
        <f>VLOOKUP(B121,'Government expenditure on educa'!B119:C327,2,0)</f>
        <v>#N/A</v>
      </c>
      <c r="I121" t="e">
        <f>VLOOKUP(B121,'GDP per capita (2017 PPP $)'!B119:C327,2,0)</f>
        <v>#N/A</v>
      </c>
      <c r="J121" t="e">
        <f>VLOOKUP(B121,'Forest area (% of total land ar'!B119:C329,2,0)</f>
        <v>#N/A</v>
      </c>
      <c r="L121" t="s">
        <v>39</v>
      </c>
      <c r="M121">
        <v>41353</v>
      </c>
      <c r="N121">
        <v>46.17</v>
      </c>
      <c r="O121">
        <v>2415</v>
      </c>
      <c r="P121">
        <v>2.7</v>
      </c>
      <c r="Q121">
        <v>517</v>
      </c>
      <c r="R121">
        <v>933</v>
      </c>
      <c r="S121">
        <v>1.04</v>
      </c>
      <c r="T121">
        <v>37</v>
      </c>
      <c r="U121">
        <v>0.04</v>
      </c>
      <c r="V121">
        <v>9</v>
      </c>
      <c r="W121" t="s">
        <v>16</v>
      </c>
    </row>
    <row r="122" spans="1:23" x14ac:dyDescent="0.35">
      <c r="A122" t="s">
        <v>142</v>
      </c>
      <c r="B122" t="str">
        <f t="shared" si="1"/>
        <v>Rwanda</v>
      </c>
      <c r="C122" t="e">
        <f>VLOOKUP(B122,'Literacy Rate'!B120:C327,2,0)</f>
        <v>#N/A</v>
      </c>
      <c r="D122">
        <f>VLOOKUP(B122,'Life expectancy index'!B120:C327,2,0)</f>
        <v>0.754</v>
      </c>
      <c r="E122">
        <f>VLOOKUP(A122,'Internet users, total (% of pop'!B120:C331,2,0)</f>
        <v>21.8</v>
      </c>
      <c r="F122">
        <f>VLOOKUP(B122,'Income Index'!B120:C327,2,0)</f>
        <v>0.46400000000000002</v>
      </c>
      <c r="G122">
        <f>VLOOKUP(A122,'Human Development Index (HDI)	'!B120:C325,2,0)</f>
        <v>0.54300000000000004</v>
      </c>
      <c r="H122">
        <f>VLOOKUP(B122,'Government expenditure on educa'!B120:C328,2,0)</f>
        <v>3.1</v>
      </c>
      <c r="I122">
        <f>VLOOKUP(B122,'GDP per capita (2017 PPP $)'!B120:C328,2,0)</f>
        <v>2226</v>
      </c>
      <c r="J122">
        <f>VLOOKUP(B122,'Forest area (% of total land ar'!B120:C330,2,0)</f>
        <v>19.7</v>
      </c>
      <c r="L122" t="s">
        <v>39</v>
      </c>
      <c r="M122">
        <v>39914</v>
      </c>
      <c r="N122">
        <v>308.16000000000003</v>
      </c>
      <c r="O122">
        <v>6654</v>
      </c>
      <c r="P122">
        <v>51.37</v>
      </c>
      <c r="Q122">
        <v>2530</v>
      </c>
      <c r="R122">
        <v>448</v>
      </c>
      <c r="S122">
        <v>3.46</v>
      </c>
      <c r="T122">
        <v>51</v>
      </c>
      <c r="U122">
        <v>0.39</v>
      </c>
      <c r="V122">
        <v>21</v>
      </c>
      <c r="W122" t="s">
        <v>16</v>
      </c>
    </row>
    <row r="123" spans="1:23" x14ac:dyDescent="0.35">
      <c r="A123" t="s">
        <v>143</v>
      </c>
      <c r="B123" t="str">
        <f t="shared" si="1"/>
        <v>Angola</v>
      </c>
      <c r="C123" t="e">
        <f>VLOOKUP(B123,'Literacy Rate'!B121:C328,2,0)</f>
        <v>#N/A</v>
      </c>
      <c r="D123" t="e">
        <f>VLOOKUP(B123,'Life expectancy index'!B121:C328,2,0)</f>
        <v>#N/A</v>
      </c>
      <c r="E123" t="e">
        <f>VLOOKUP(A123,'Internet users, total (% of pop'!B121:C332,2,0)</f>
        <v>#N/A</v>
      </c>
      <c r="F123" t="e">
        <f>VLOOKUP(B123,'Income Index'!B121:C328,2,0)</f>
        <v>#N/A</v>
      </c>
      <c r="G123" t="e">
        <f>VLOOKUP(A123,'Human Development Index (HDI)	'!B121:C326,2,0)</f>
        <v>#N/A</v>
      </c>
      <c r="H123" t="e">
        <f>VLOOKUP(B123,'Government expenditure on educa'!B121:C329,2,0)</f>
        <v>#N/A</v>
      </c>
      <c r="I123" t="e">
        <f>VLOOKUP(B123,'GDP per capita (2017 PPP $)'!B121:C329,2,0)</f>
        <v>#N/A</v>
      </c>
      <c r="J123" t="e">
        <f>VLOOKUP(B123,'Forest area (% of total land ar'!B121:C331,2,0)</f>
        <v>#N/A</v>
      </c>
      <c r="L123" t="s">
        <v>39</v>
      </c>
      <c r="M123">
        <v>38965</v>
      </c>
      <c r="N123">
        <v>118.56</v>
      </c>
      <c r="O123">
        <v>874</v>
      </c>
      <c r="P123">
        <v>2.66</v>
      </c>
      <c r="Q123">
        <v>116</v>
      </c>
      <c r="R123">
        <v>903</v>
      </c>
      <c r="S123">
        <v>2.75</v>
      </c>
      <c r="T123">
        <v>22</v>
      </c>
      <c r="U123">
        <v>7.0000000000000007E-2</v>
      </c>
      <c r="V123">
        <v>3</v>
      </c>
      <c r="W123" t="s">
        <v>16</v>
      </c>
    </row>
    <row r="124" spans="1:23" x14ac:dyDescent="0.35">
      <c r="A124" t="s">
        <v>144</v>
      </c>
      <c r="B124" t="str">
        <f t="shared" si="1"/>
        <v>Sudan</v>
      </c>
      <c r="C124">
        <f>VLOOKUP(B124,'Literacy Rate'!B122:C329,2,0)</f>
        <v>60.7</v>
      </c>
      <c r="D124">
        <f>VLOOKUP(B124,'Life expectancy index'!B122:C329,2,0)</f>
        <v>0.69699999999999995</v>
      </c>
      <c r="E124">
        <f>VLOOKUP(A124,'Internet users, total (% of pop'!B122:C333,2,0)</f>
        <v>30.9</v>
      </c>
      <c r="F124">
        <f>VLOOKUP(B124,'Income Index'!B122:C329,2,0)</f>
        <v>0.55100000000000005</v>
      </c>
      <c r="G124">
        <f>VLOOKUP(A124,'Human Development Index (HDI)	'!B122:C327,2,0)</f>
        <v>0.51</v>
      </c>
      <c r="H124" t="str">
        <f>VLOOKUP(B124,'Government expenditure on educa'!B122:C330,2,0)</f>
        <v>..</v>
      </c>
      <c r="I124">
        <f>VLOOKUP(B124,'GDP per capita (2017 PPP $)'!B122:C330,2,0)</f>
        <v>3958</v>
      </c>
      <c r="J124" t="str">
        <f>VLOOKUP(B124,'Forest area (% of total land ar'!B122:C332,2,0)</f>
        <v>..</v>
      </c>
      <c r="L124" t="s">
        <v>32</v>
      </c>
      <c r="M124">
        <v>36658</v>
      </c>
      <c r="N124">
        <v>83.6</v>
      </c>
      <c r="O124">
        <v>84</v>
      </c>
      <c r="P124">
        <v>0.19</v>
      </c>
      <c r="Q124">
        <v>0</v>
      </c>
      <c r="R124">
        <v>2754</v>
      </c>
      <c r="S124">
        <v>6.28</v>
      </c>
      <c r="T124">
        <v>4</v>
      </c>
      <c r="U124">
        <v>0.01</v>
      </c>
      <c r="V124">
        <v>0</v>
      </c>
      <c r="W124" t="s">
        <v>19</v>
      </c>
    </row>
    <row r="125" spans="1:23" x14ac:dyDescent="0.35">
      <c r="A125" t="s">
        <v>145</v>
      </c>
      <c r="B125" t="str">
        <f t="shared" si="1"/>
        <v>Malawi</v>
      </c>
      <c r="C125" t="e">
        <f>VLOOKUP(B125,'Literacy Rate'!B123:C330,2,0)</f>
        <v>#N/A</v>
      </c>
      <c r="D125" t="e">
        <f>VLOOKUP(B125,'Life expectancy index'!B123:C330,2,0)</f>
        <v>#N/A</v>
      </c>
      <c r="E125" t="e">
        <f>VLOOKUP(A125,'Internet users, total (% of pop'!B123:C334,2,0)</f>
        <v>#N/A</v>
      </c>
      <c r="F125" t="e">
        <f>VLOOKUP(B125,'Income Index'!B123:C330,2,0)</f>
        <v>#N/A</v>
      </c>
      <c r="G125" t="e">
        <f>VLOOKUP(A125,'Human Development Index (HDI)	'!B123:C328,2,0)</f>
        <v>#N/A</v>
      </c>
      <c r="H125" t="e">
        <f>VLOOKUP(B125,'Government expenditure on educa'!B123:C331,2,0)</f>
        <v>#N/A</v>
      </c>
      <c r="I125" t="e">
        <f>VLOOKUP(B125,'GDP per capita (2017 PPP $)'!B123:C331,2,0)</f>
        <v>#N/A</v>
      </c>
      <c r="J125" t="e">
        <f>VLOOKUP(B125,'Forest area (% of total land ar'!B123:C333,2,0)</f>
        <v>#N/A</v>
      </c>
      <c r="L125" t="s">
        <v>39</v>
      </c>
      <c r="M125">
        <v>36359</v>
      </c>
      <c r="N125">
        <v>190.06</v>
      </c>
      <c r="O125">
        <v>1140</v>
      </c>
      <c r="P125">
        <v>5.96</v>
      </c>
      <c r="Q125">
        <v>233</v>
      </c>
      <c r="R125">
        <v>1199</v>
      </c>
      <c r="S125">
        <v>6.27</v>
      </c>
      <c r="T125">
        <v>21</v>
      </c>
      <c r="U125">
        <v>0.11</v>
      </c>
      <c r="V125">
        <v>3</v>
      </c>
      <c r="W125" t="s">
        <v>16</v>
      </c>
    </row>
    <row r="126" spans="1:23" x14ac:dyDescent="0.35">
      <c r="A126" t="s">
        <v>146</v>
      </c>
      <c r="B126" t="str">
        <f t="shared" si="1"/>
        <v>Trinidad and Tobago</v>
      </c>
      <c r="C126">
        <f>VLOOKUP(B126,'Literacy Rate'!B124:C331,2,0)</f>
        <v>98.7</v>
      </c>
      <c r="D126">
        <f>VLOOKUP(B126,'Life expectancy index'!B124:C331,2,0)</f>
        <v>0.82299999999999995</v>
      </c>
      <c r="E126">
        <f>VLOOKUP(A126,'Internet users, total (% of pop'!B124:C335,2,0)</f>
        <v>77.3</v>
      </c>
      <c r="F126">
        <f>VLOOKUP(B126,'Income Index'!B124:C331,2,0)</f>
        <v>0.84099999999999997</v>
      </c>
      <c r="G126">
        <f>VLOOKUP(A126,'Human Development Index (HDI)	'!B124:C329,2,0)</f>
        <v>0.79600000000000004</v>
      </c>
      <c r="H126" t="str">
        <f>VLOOKUP(B126,'Government expenditure on educa'!B124:C332,2,0)</f>
        <v>..</v>
      </c>
      <c r="I126">
        <f>VLOOKUP(B126,'GDP per capita (2017 PPP $)'!B124:C332,2,0)</f>
        <v>26176</v>
      </c>
      <c r="J126">
        <f>VLOOKUP(B126,'Forest area (% of total land ar'!B124:C334,2,0)</f>
        <v>46</v>
      </c>
      <c r="L126" t="s">
        <v>15</v>
      </c>
      <c r="M126">
        <v>32793</v>
      </c>
      <c r="N126">
        <v>2343.21</v>
      </c>
      <c r="O126">
        <v>1586</v>
      </c>
      <c r="P126">
        <v>113.33</v>
      </c>
      <c r="Q126">
        <v>265</v>
      </c>
      <c r="R126">
        <v>847</v>
      </c>
      <c r="S126">
        <v>60.52</v>
      </c>
      <c r="T126">
        <v>79</v>
      </c>
      <c r="U126">
        <v>5.64</v>
      </c>
      <c r="V126">
        <v>14</v>
      </c>
      <c r="W126" t="s">
        <v>16</v>
      </c>
    </row>
    <row r="127" spans="1:23" x14ac:dyDescent="0.35">
      <c r="A127" t="s">
        <v>147</v>
      </c>
      <c r="B127" t="str">
        <f t="shared" si="1"/>
        <v>Cabo Verde</v>
      </c>
      <c r="C127" t="e">
        <f>VLOOKUP(B127,'Literacy Rate'!B125:C332,2,0)</f>
        <v>#N/A</v>
      </c>
      <c r="D127" t="e">
        <f>VLOOKUP(B127,'Life expectancy index'!B125:C332,2,0)</f>
        <v>#N/A</v>
      </c>
      <c r="E127" t="e">
        <f>VLOOKUP(A127,'Internet users, total (% of pop'!B125:C336,2,0)</f>
        <v>#N/A</v>
      </c>
      <c r="F127" t="e">
        <f>VLOOKUP(B127,'Income Index'!B125:C332,2,0)</f>
        <v>#N/A</v>
      </c>
      <c r="G127" t="e">
        <f>VLOOKUP(A127,'Human Development Index (HDI)	'!B125:C330,2,0)</f>
        <v>#N/A</v>
      </c>
      <c r="H127" t="e">
        <f>VLOOKUP(B127,'Government expenditure on educa'!B125:C333,2,0)</f>
        <v>#N/A</v>
      </c>
      <c r="I127" t="e">
        <f>VLOOKUP(B127,'GDP per capita (2017 PPP $)'!B125:C333,2,0)</f>
        <v>#N/A</v>
      </c>
      <c r="J127" t="e">
        <f>VLOOKUP(B127,'Forest area (% of total land ar'!B125:C335,2,0)</f>
        <v>#N/A</v>
      </c>
      <c r="L127" t="s">
        <v>39</v>
      </c>
      <c r="M127">
        <v>32594</v>
      </c>
      <c r="N127">
        <v>5862.37</v>
      </c>
      <c r="O127">
        <v>337</v>
      </c>
      <c r="P127">
        <v>60.61</v>
      </c>
      <c r="Q127">
        <v>70</v>
      </c>
      <c r="R127">
        <v>287</v>
      </c>
      <c r="S127">
        <v>51.62</v>
      </c>
      <c r="T127">
        <v>2</v>
      </c>
      <c r="U127">
        <v>0.36</v>
      </c>
      <c r="V127">
        <v>1</v>
      </c>
      <c r="W127" t="s">
        <v>16</v>
      </c>
    </row>
    <row r="128" spans="1:23" x14ac:dyDescent="0.35">
      <c r="A128" t="s">
        <v>148</v>
      </c>
      <c r="B128" t="str">
        <f t="shared" si="1"/>
        <v>Australia</v>
      </c>
      <c r="C128" t="str">
        <f>VLOOKUP(B128,'Literacy Rate'!B126:C333,2,0)</f>
        <v>..</v>
      </c>
      <c r="D128" t="e">
        <f>VLOOKUP(B128,'Life expectancy index'!B126:C333,2,0)</f>
        <v>#N/A</v>
      </c>
      <c r="E128" t="e">
        <f>VLOOKUP(A128,'Internet users, total (% of pop'!B126:C337,2,0)</f>
        <v>#N/A</v>
      </c>
      <c r="F128" t="e">
        <f>VLOOKUP(B128,'Income Index'!B126:C333,2,0)</f>
        <v>#N/A</v>
      </c>
      <c r="G128" t="e">
        <f>VLOOKUP(A128,'Human Development Index (HDI)	'!B126:C331,2,0)</f>
        <v>#N/A</v>
      </c>
      <c r="H128" t="e">
        <f>VLOOKUP(B128,'Government expenditure on educa'!B126:C334,2,0)</f>
        <v>#N/A</v>
      </c>
      <c r="I128" t="e">
        <f>VLOOKUP(B128,'GDP per capita (2017 PPP $)'!B126:C334,2,0)</f>
        <v>#N/A</v>
      </c>
      <c r="J128" t="e">
        <f>VLOOKUP(B128,'Forest area (% of total land ar'!B126:C336,2,0)</f>
        <v>#N/A</v>
      </c>
      <c r="L128" t="s">
        <v>44</v>
      </c>
      <c r="M128">
        <v>30643</v>
      </c>
      <c r="N128">
        <v>120.17</v>
      </c>
      <c r="O128">
        <v>235</v>
      </c>
      <c r="P128">
        <v>0.92</v>
      </c>
      <c r="Q128">
        <v>33</v>
      </c>
      <c r="R128">
        <v>910</v>
      </c>
      <c r="S128">
        <v>3.57</v>
      </c>
      <c r="T128">
        <v>0</v>
      </c>
      <c r="U128">
        <v>0</v>
      </c>
      <c r="V128">
        <v>0</v>
      </c>
      <c r="W128" t="s">
        <v>19</v>
      </c>
    </row>
    <row r="129" spans="1:23" x14ac:dyDescent="0.35">
      <c r="A129" t="s">
        <v>149</v>
      </c>
      <c r="B129" t="str">
        <f t="shared" si="1"/>
        <v>Malta</v>
      </c>
      <c r="C129" t="e">
        <f>VLOOKUP(B129,'Literacy Rate'!B127:C334,2,0)</f>
        <v>#N/A</v>
      </c>
      <c r="D129" t="e">
        <f>VLOOKUP(B129,'Life expectancy index'!B127:C334,2,0)</f>
        <v>#N/A</v>
      </c>
      <c r="E129" t="e">
        <f>VLOOKUP(A129,'Internet users, total (% of pop'!B127:C338,2,0)</f>
        <v>#N/A</v>
      </c>
      <c r="F129" t="e">
        <f>VLOOKUP(B129,'Income Index'!B127:C334,2,0)</f>
        <v>#N/A</v>
      </c>
      <c r="G129" t="e">
        <f>VLOOKUP(A129,'Human Development Index (HDI)	'!B127:C332,2,0)</f>
        <v>#N/A</v>
      </c>
      <c r="H129" t="e">
        <f>VLOOKUP(B129,'Government expenditure on educa'!B127:C335,2,0)</f>
        <v>#N/A</v>
      </c>
      <c r="I129" t="e">
        <f>VLOOKUP(B129,'GDP per capita (2017 PPP $)'!B127:C335,2,0)</f>
        <v>#N/A</v>
      </c>
      <c r="J129" t="e">
        <f>VLOOKUP(B129,'Forest area (% of total land ar'!B127:C337,2,0)</f>
        <v>#N/A</v>
      </c>
      <c r="L129" t="s">
        <v>22</v>
      </c>
      <c r="M129">
        <v>30633</v>
      </c>
      <c r="N129">
        <v>5953.2</v>
      </c>
      <c r="O129">
        <v>35</v>
      </c>
      <c r="P129">
        <v>6.8</v>
      </c>
      <c r="Q129">
        <v>6</v>
      </c>
      <c r="R129">
        <v>420</v>
      </c>
      <c r="S129">
        <v>81.62</v>
      </c>
      <c r="T129">
        <v>0</v>
      </c>
      <c r="U129">
        <v>0</v>
      </c>
      <c r="V129">
        <v>0</v>
      </c>
      <c r="W129" t="s">
        <v>19</v>
      </c>
    </row>
    <row r="130" spans="1:23" x14ac:dyDescent="0.35">
      <c r="A130" t="s">
        <v>150</v>
      </c>
      <c r="B130" t="str">
        <f t="shared" si="1"/>
        <v>Réunion</v>
      </c>
      <c r="C130" t="e">
        <f>VLOOKUP(B130,'Literacy Rate'!B128:C335,2,0)</f>
        <v>#N/A</v>
      </c>
      <c r="D130" t="e">
        <f>VLOOKUP(B130,'Life expectancy index'!B128:C335,2,0)</f>
        <v>#N/A</v>
      </c>
      <c r="E130" t="e">
        <f>VLOOKUP(A130,'Internet users, total (% of pop'!B128:C339,2,0)</f>
        <v>#N/A</v>
      </c>
      <c r="F130" t="e">
        <f>VLOOKUP(B130,'Income Index'!B128:C335,2,0)</f>
        <v>#N/A</v>
      </c>
      <c r="G130" t="e">
        <f>VLOOKUP(A130,'Human Development Index (HDI)	'!B128:C333,2,0)</f>
        <v>#N/A</v>
      </c>
      <c r="H130" t="e">
        <f>VLOOKUP(B130,'Government expenditure on educa'!B128:C336,2,0)</f>
        <v>#N/A</v>
      </c>
      <c r="I130" t="e">
        <f>VLOOKUP(B130,'GDP per capita (2017 PPP $)'!B128:C336,2,0)</f>
        <v>#N/A</v>
      </c>
      <c r="J130" t="e">
        <f>VLOOKUP(B130,'Forest area (% of total land ar'!B128:C338,2,0)</f>
        <v>#N/A</v>
      </c>
      <c r="L130" t="s">
        <v>39</v>
      </c>
      <c r="M130">
        <v>30583</v>
      </c>
      <c r="N130">
        <v>3415.9</v>
      </c>
      <c r="O130">
        <v>1081</v>
      </c>
      <c r="P130">
        <v>120.74</v>
      </c>
      <c r="Q130">
        <v>0</v>
      </c>
      <c r="R130">
        <v>237</v>
      </c>
      <c r="S130">
        <v>26.47</v>
      </c>
      <c r="T130">
        <v>11</v>
      </c>
      <c r="U130">
        <v>1.23</v>
      </c>
      <c r="V130">
        <v>0</v>
      </c>
      <c r="W130" t="s">
        <v>16</v>
      </c>
    </row>
    <row r="131" spans="1:23" x14ac:dyDescent="0.35">
      <c r="A131" t="s">
        <v>151</v>
      </c>
      <c r="B131" t="str">
        <f t="shared" si="1"/>
        <v>French Guiana</v>
      </c>
      <c r="C131" t="e">
        <f>VLOOKUP(B131,'Literacy Rate'!B129:C336,2,0)</f>
        <v>#N/A</v>
      </c>
      <c r="D131" t="e">
        <f>VLOOKUP(B131,'Life expectancy index'!B129:C336,2,0)</f>
        <v>#N/A</v>
      </c>
      <c r="E131" t="e">
        <f>VLOOKUP(A131,'Internet users, total (% of pop'!B129:C340,2,0)</f>
        <v>#N/A</v>
      </c>
      <c r="F131" t="e">
        <f>VLOOKUP(B131,'Income Index'!B129:C336,2,0)</f>
        <v>#N/A</v>
      </c>
      <c r="G131" t="e">
        <f>VLOOKUP(A131,'Human Development Index (HDI)	'!B129:C334,2,0)</f>
        <v>#N/A</v>
      </c>
      <c r="H131" t="e">
        <f>VLOOKUP(B131,'Government expenditure on educa'!B129:C337,2,0)</f>
        <v>#N/A</v>
      </c>
      <c r="I131" t="e">
        <f>VLOOKUP(B131,'GDP per capita (2017 PPP $)'!B129:C337,2,0)</f>
        <v>#N/A</v>
      </c>
      <c r="J131" t="e">
        <f>VLOOKUP(B131,'Forest area (% of total land ar'!B129:C339,2,0)</f>
        <v>#N/A</v>
      </c>
      <c r="L131" t="s">
        <v>15</v>
      </c>
      <c r="M131">
        <v>27628</v>
      </c>
      <c r="N131">
        <v>9249.9699999999993</v>
      </c>
      <c r="O131">
        <v>588</v>
      </c>
      <c r="P131">
        <v>196.86</v>
      </c>
      <c r="Q131">
        <v>92</v>
      </c>
      <c r="R131">
        <v>146</v>
      </c>
      <c r="S131">
        <v>48.88</v>
      </c>
      <c r="T131">
        <v>4</v>
      </c>
      <c r="U131">
        <v>1.34</v>
      </c>
      <c r="V131">
        <v>1</v>
      </c>
      <c r="W131" t="s">
        <v>16</v>
      </c>
    </row>
    <row r="132" spans="1:23" x14ac:dyDescent="0.35">
      <c r="A132" t="s">
        <v>152</v>
      </c>
      <c r="B132" t="str">
        <f t="shared" ref="B132:B195" si="2">TRIM(A132)</f>
        <v>Syrian Arab Republic</v>
      </c>
      <c r="C132" t="str">
        <f>VLOOKUP(B132,'Literacy Rate'!B130:C337,2,0)</f>
        <v>..</v>
      </c>
      <c r="D132">
        <f>VLOOKUP(B132,'Life expectancy index'!B130:C337,2,0)</f>
        <v>0.81100000000000005</v>
      </c>
      <c r="E132">
        <f>VLOOKUP(A132,'Internet users, total (% of pop'!B130:C341,2,0)</f>
        <v>34.299999999999997</v>
      </c>
      <c r="F132">
        <f>VLOOKUP(B132,'Income Index'!B130:C337,2,0)</f>
        <v>0.54200000000000004</v>
      </c>
      <c r="G132">
        <f>VLOOKUP(A132,'Human Development Index (HDI)	'!B130:C335,2,0)</f>
        <v>0.56699999999999995</v>
      </c>
      <c r="H132" t="str">
        <f>VLOOKUP(B132,'Government expenditure on educa'!B130:C338,2,0)</f>
        <v>..</v>
      </c>
      <c r="I132" t="str">
        <f>VLOOKUP(B132,'GDP per capita (2017 PPP $)'!B130:C338,2,0)</f>
        <v>..</v>
      </c>
      <c r="J132">
        <f>VLOOKUP(B132,'Forest area (% of total land ar'!B130:C340,2,0)</f>
        <v>2.7</v>
      </c>
      <c r="L132" t="s">
        <v>32</v>
      </c>
      <c r="M132">
        <v>25515</v>
      </c>
      <c r="N132">
        <v>145.79</v>
      </c>
      <c r="O132">
        <v>267</v>
      </c>
      <c r="P132">
        <v>1.53</v>
      </c>
      <c r="Q132">
        <v>36</v>
      </c>
      <c r="R132">
        <v>1876</v>
      </c>
      <c r="S132">
        <v>10.72</v>
      </c>
      <c r="T132">
        <v>21</v>
      </c>
      <c r="U132">
        <v>0.12</v>
      </c>
      <c r="V132">
        <v>3</v>
      </c>
      <c r="W132" t="s">
        <v>16</v>
      </c>
    </row>
    <row r="133" spans="1:23" x14ac:dyDescent="0.35">
      <c r="A133" t="s">
        <v>153</v>
      </c>
      <c r="B133" t="str">
        <f t="shared" si="2"/>
        <v>Gabon</v>
      </c>
      <c r="C133" t="e">
        <f>VLOOKUP(B133,'Literacy Rate'!B131:C338,2,0)</f>
        <v>#N/A</v>
      </c>
      <c r="D133" t="e">
        <f>VLOOKUP(B133,'Life expectancy index'!B131:C338,2,0)</f>
        <v>#N/A</v>
      </c>
      <c r="E133" t="e">
        <f>VLOOKUP(A133,'Internet users, total (% of pop'!B131:C342,2,0)</f>
        <v>#N/A</v>
      </c>
      <c r="F133" t="e">
        <f>VLOOKUP(B133,'Income Index'!B131:C338,2,0)</f>
        <v>#N/A</v>
      </c>
      <c r="G133" t="e">
        <f>VLOOKUP(A133,'Human Development Index (HDI)	'!B131:C336,2,0)</f>
        <v>#N/A</v>
      </c>
      <c r="H133" t="e">
        <f>VLOOKUP(B133,'Government expenditure on educa'!B131:C339,2,0)</f>
        <v>#N/A</v>
      </c>
      <c r="I133" t="e">
        <f>VLOOKUP(B133,'GDP per capita (2017 PPP $)'!B131:C339,2,0)</f>
        <v>#N/A</v>
      </c>
      <c r="J133" t="e">
        <f>VLOOKUP(B133,'Forest area (% of total land ar'!B131:C341,2,0)</f>
        <v>#N/A</v>
      </c>
      <c r="L133" t="s">
        <v>39</v>
      </c>
      <c r="M133">
        <v>25054</v>
      </c>
      <c r="N133">
        <v>1125.6500000000001</v>
      </c>
      <c r="O133">
        <v>96</v>
      </c>
      <c r="P133">
        <v>4.3099999999999996</v>
      </c>
      <c r="Q133">
        <v>70</v>
      </c>
      <c r="R133">
        <v>159</v>
      </c>
      <c r="S133">
        <v>7.14</v>
      </c>
      <c r="T133">
        <v>0</v>
      </c>
      <c r="U133">
        <v>0</v>
      </c>
      <c r="V133">
        <v>0</v>
      </c>
      <c r="W133" t="s">
        <v>16</v>
      </c>
    </row>
    <row r="134" spans="1:23" x14ac:dyDescent="0.35">
      <c r="A134" t="s">
        <v>154</v>
      </c>
      <c r="B134" t="str">
        <f t="shared" si="2"/>
        <v>Guinea</v>
      </c>
      <c r="C134" t="e">
        <f>VLOOKUP(B134,'Literacy Rate'!B132:C339,2,0)</f>
        <v>#N/A</v>
      </c>
      <c r="D134" t="e">
        <f>VLOOKUP(B134,'Life expectancy index'!B132:C339,2,0)</f>
        <v>#N/A</v>
      </c>
      <c r="E134" t="e">
        <f>VLOOKUP(A134,'Internet users, total (% of pop'!B132:C343,2,0)</f>
        <v>#N/A</v>
      </c>
      <c r="F134" t="e">
        <f>VLOOKUP(B134,'Income Index'!B132:C339,2,0)</f>
        <v>#N/A</v>
      </c>
      <c r="G134" t="e">
        <f>VLOOKUP(A134,'Human Development Index (HDI)	'!B132:C337,2,0)</f>
        <v>#N/A</v>
      </c>
      <c r="H134" t="e">
        <f>VLOOKUP(B134,'Government expenditure on educa'!B132:C340,2,0)</f>
        <v>#N/A</v>
      </c>
      <c r="I134" t="e">
        <f>VLOOKUP(B134,'GDP per capita (2017 PPP $)'!B132:C340,2,0)</f>
        <v>#N/A</v>
      </c>
      <c r="J134" t="e">
        <f>VLOOKUP(B134,'Forest area (% of total land ar'!B132:C342,2,0)</f>
        <v>#N/A</v>
      </c>
      <c r="L134" t="s">
        <v>39</v>
      </c>
      <c r="M134">
        <v>23787</v>
      </c>
      <c r="N134">
        <v>181.13</v>
      </c>
      <c r="O134">
        <v>172</v>
      </c>
      <c r="P134">
        <v>1.31</v>
      </c>
      <c r="Q134">
        <v>17</v>
      </c>
      <c r="R134">
        <v>172</v>
      </c>
      <c r="S134">
        <v>1.31</v>
      </c>
      <c r="T134">
        <v>4</v>
      </c>
      <c r="U134">
        <v>0.03</v>
      </c>
      <c r="V134">
        <v>1</v>
      </c>
      <c r="W134" t="s">
        <v>16</v>
      </c>
    </row>
    <row r="135" spans="1:23" x14ac:dyDescent="0.35">
      <c r="A135" t="s">
        <v>155</v>
      </c>
      <c r="B135" t="str">
        <f t="shared" si="2"/>
        <v>Suriname</v>
      </c>
      <c r="C135">
        <f>VLOOKUP(B135,'Literacy Rate'!B133:C340,2,0)</f>
        <v>94.4</v>
      </c>
      <c r="D135">
        <f>VLOOKUP(B135,'Life expectancy index'!B133:C340,2,0)</f>
        <v>0.79500000000000004</v>
      </c>
      <c r="E135">
        <f>VLOOKUP(A135,'Internet users, total (% of pop'!B133:C344,2,0)</f>
        <v>48.9</v>
      </c>
      <c r="F135">
        <f>VLOOKUP(B135,'Income Index'!B133:C340,2,0)</f>
        <v>0.75</v>
      </c>
      <c r="G135">
        <f>VLOOKUP(A135,'Human Development Index (HDI)	'!B133:C338,2,0)</f>
        <v>0.73799999999999999</v>
      </c>
      <c r="H135" t="str">
        <f>VLOOKUP(B135,'Government expenditure on educa'!B133:C341,2,0)</f>
        <v>..</v>
      </c>
      <c r="I135">
        <f>VLOOKUP(B135,'GDP per capita (2017 PPP $)'!B133:C341,2,0)</f>
        <v>16329</v>
      </c>
      <c r="J135">
        <f>VLOOKUP(B135,'Forest area (% of total land ar'!B133:C343,2,0)</f>
        <v>98.3</v>
      </c>
      <c r="L135" t="s">
        <v>15</v>
      </c>
      <c r="M135">
        <v>21732</v>
      </c>
      <c r="N135">
        <v>3704.54</v>
      </c>
      <c r="O135">
        <v>1183</v>
      </c>
      <c r="P135">
        <v>201.66</v>
      </c>
      <c r="Q135">
        <v>213</v>
      </c>
      <c r="R135">
        <v>522</v>
      </c>
      <c r="S135">
        <v>88.98</v>
      </c>
      <c r="T135">
        <v>40</v>
      </c>
      <c r="U135">
        <v>6.82</v>
      </c>
      <c r="V135">
        <v>6</v>
      </c>
      <c r="W135" t="s">
        <v>16</v>
      </c>
    </row>
    <row r="136" spans="1:23" x14ac:dyDescent="0.35">
      <c r="A136" t="s">
        <v>156</v>
      </c>
      <c r="B136" t="str">
        <f t="shared" si="2"/>
        <v>Mauritania</v>
      </c>
      <c r="C136" t="e">
        <f>VLOOKUP(B136,'Literacy Rate'!B134:C341,2,0)</f>
        <v>#N/A</v>
      </c>
      <c r="D136" t="e">
        <f>VLOOKUP(B136,'Life expectancy index'!B134:C341,2,0)</f>
        <v>#N/A</v>
      </c>
      <c r="E136" t="e">
        <f>VLOOKUP(A136,'Internet users, total (% of pop'!B134:C345,2,0)</f>
        <v>#N/A</v>
      </c>
      <c r="F136" t="e">
        <f>VLOOKUP(B136,'Income Index'!B134:C341,2,0)</f>
        <v>#N/A</v>
      </c>
      <c r="G136" t="e">
        <f>VLOOKUP(A136,'Human Development Index (HDI)	'!B134:C339,2,0)</f>
        <v>#N/A</v>
      </c>
      <c r="H136" t="e">
        <f>VLOOKUP(B136,'Government expenditure on educa'!B134:C342,2,0)</f>
        <v>#N/A</v>
      </c>
      <c r="I136" t="e">
        <f>VLOOKUP(B136,'GDP per capita (2017 PPP $)'!B134:C342,2,0)</f>
        <v>#N/A</v>
      </c>
      <c r="J136" t="e">
        <f>VLOOKUP(B136,'Forest area (% of total land ar'!B134:C344,2,0)</f>
        <v>#N/A</v>
      </c>
      <c r="L136" t="s">
        <v>39</v>
      </c>
      <c r="M136">
        <v>20894</v>
      </c>
      <c r="N136">
        <v>449.37</v>
      </c>
      <c r="O136">
        <v>382</v>
      </c>
      <c r="P136">
        <v>8.2200000000000006</v>
      </c>
      <c r="Q136">
        <v>86</v>
      </c>
      <c r="R136">
        <v>489</v>
      </c>
      <c r="S136">
        <v>10.52</v>
      </c>
      <c r="T136">
        <v>6</v>
      </c>
      <c r="U136">
        <v>0.13</v>
      </c>
      <c r="V136">
        <v>0</v>
      </c>
      <c r="W136" t="s">
        <v>16</v>
      </c>
    </row>
    <row r="137" spans="1:23" x14ac:dyDescent="0.35">
      <c r="A137" t="s">
        <v>157</v>
      </c>
      <c r="B137" t="str">
        <f t="shared" si="2"/>
        <v>Guyana</v>
      </c>
      <c r="C137" t="e">
        <f>VLOOKUP(B137,'Literacy Rate'!B135:C342,2,0)</f>
        <v>#N/A</v>
      </c>
      <c r="D137" t="e">
        <f>VLOOKUP(B137,'Life expectancy index'!B135:C342,2,0)</f>
        <v>#N/A</v>
      </c>
      <c r="E137" t="e">
        <f>VLOOKUP(A137,'Internet users, total (% of pop'!B135:C346,2,0)</f>
        <v>#N/A</v>
      </c>
      <c r="F137" t="e">
        <f>VLOOKUP(B137,'Income Index'!B135:C342,2,0)</f>
        <v>#N/A</v>
      </c>
      <c r="G137" t="e">
        <f>VLOOKUP(A137,'Human Development Index (HDI)	'!B135:C340,2,0)</f>
        <v>#N/A</v>
      </c>
      <c r="H137" t="e">
        <f>VLOOKUP(B137,'Government expenditure on educa'!B135:C343,2,0)</f>
        <v>#N/A</v>
      </c>
      <c r="I137" t="e">
        <f>VLOOKUP(B137,'GDP per capita (2017 PPP $)'!B135:C343,2,0)</f>
        <v>#N/A</v>
      </c>
      <c r="J137" t="e">
        <f>VLOOKUP(B137,'Forest area (% of total land ar'!B135:C345,2,0)</f>
        <v>#N/A</v>
      </c>
      <c r="L137" t="s">
        <v>15</v>
      </c>
      <c r="M137">
        <v>20055</v>
      </c>
      <c r="N137">
        <v>2549.7399999999998</v>
      </c>
      <c r="O137">
        <v>696</v>
      </c>
      <c r="P137">
        <v>88.49</v>
      </c>
      <c r="Q137">
        <v>96</v>
      </c>
      <c r="R137">
        <v>469</v>
      </c>
      <c r="S137">
        <v>59.63</v>
      </c>
      <c r="T137">
        <v>15</v>
      </c>
      <c r="U137">
        <v>1.91</v>
      </c>
      <c r="V137">
        <v>1</v>
      </c>
      <c r="W137" t="s">
        <v>16</v>
      </c>
    </row>
    <row r="138" spans="1:23" x14ac:dyDescent="0.35">
      <c r="A138" t="s">
        <v>158</v>
      </c>
      <c r="B138" t="str">
        <f t="shared" si="2"/>
        <v>Mayotte</v>
      </c>
      <c r="C138" t="e">
        <f>VLOOKUP(B138,'Literacy Rate'!B136:C343,2,0)</f>
        <v>#N/A</v>
      </c>
      <c r="D138" t="e">
        <f>VLOOKUP(B138,'Life expectancy index'!B136:C343,2,0)</f>
        <v>#N/A</v>
      </c>
      <c r="E138" t="e">
        <f>VLOOKUP(A138,'Internet users, total (% of pop'!B136:C347,2,0)</f>
        <v>#N/A</v>
      </c>
      <c r="F138" t="e">
        <f>VLOOKUP(B138,'Income Index'!B136:C343,2,0)</f>
        <v>#N/A</v>
      </c>
      <c r="G138" t="e">
        <f>VLOOKUP(A138,'Human Development Index (HDI)	'!B136:C341,2,0)</f>
        <v>#N/A</v>
      </c>
      <c r="H138" t="e">
        <f>VLOOKUP(B138,'Government expenditure on educa'!B136:C344,2,0)</f>
        <v>#N/A</v>
      </c>
      <c r="I138" t="e">
        <f>VLOOKUP(B138,'GDP per capita (2017 PPP $)'!B136:C344,2,0)</f>
        <v>#N/A</v>
      </c>
      <c r="J138" t="e">
        <f>VLOOKUP(B138,'Forest area (% of total land ar'!B136:C346,2,0)</f>
        <v>#N/A</v>
      </c>
      <c r="L138" t="s">
        <v>39</v>
      </c>
      <c r="M138">
        <v>19412</v>
      </c>
      <c r="N138">
        <v>7115.44</v>
      </c>
      <c r="O138">
        <v>7</v>
      </c>
      <c r="P138">
        <v>2.57</v>
      </c>
      <c r="Q138">
        <v>0</v>
      </c>
      <c r="R138">
        <v>174</v>
      </c>
      <c r="S138">
        <v>63.78</v>
      </c>
      <c r="T138">
        <v>0</v>
      </c>
      <c r="U138">
        <v>0</v>
      </c>
      <c r="V138">
        <v>0</v>
      </c>
      <c r="W138" t="s">
        <v>16</v>
      </c>
    </row>
    <row r="139" spans="1:23" x14ac:dyDescent="0.35">
      <c r="A139" t="s">
        <v>159</v>
      </c>
      <c r="B139" t="str">
        <f t="shared" si="2"/>
        <v>Eswatini</v>
      </c>
      <c r="C139" t="e">
        <f>VLOOKUP(B139,'Literacy Rate'!B137:C344,2,0)</f>
        <v>#N/A</v>
      </c>
      <c r="D139" t="e">
        <f>VLOOKUP(B139,'Life expectancy index'!B137:C344,2,0)</f>
        <v>#N/A</v>
      </c>
      <c r="E139" t="e">
        <f>VLOOKUP(A139,'Internet users, total (% of pop'!B137:C348,2,0)</f>
        <v>#N/A</v>
      </c>
      <c r="F139" t="e">
        <f>VLOOKUP(B139,'Income Index'!B137:C344,2,0)</f>
        <v>#N/A</v>
      </c>
      <c r="G139" t="e">
        <f>VLOOKUP(A139,'Human Development Index (HDI)	'!B137:C342,2,0)</f>
        <v>#N/A</v>
      </c>
      <c r="H139" t="e">
        <f>VLOOKUP(B139,'Government expenditure on educa'!B137:C345,2,0)</f>
        <v>#N/A</v>
      </c>
      <c r="I139" t="e">
        <f>VLOOKUP(B139,'GDP per capita (2017 PPP $)'!B137:C345,2,0)</f>
        <v>#N/A</v>
      </c>
      <c r="J139" t="e">
        <f>VLOOKUP(B139,'Forest area (% of total land ar'!B137:C347,2,0)</f>
        <v>#N/A</v>
      </c>
      <c r="L139" t="s">
        <v>39</v>
      </c>
      <c r="M139">
        <v>19084</v>
      </c>
      <c r="N139">
        <v>1644.94</v>
      </c>
      <c r="O139">
        <v>137</v>
      </c>
      <c r="P139">
        <v>11.81</v>
      </c>
      <c r="Q139">
        <v>0</v>
      </c>
      <c r="R139">
        <v>678</v>
      </c>
      <c r="S139">
        <v>58.44</v>
      </c>
      <c r="T139">
        <v>0</v>
      </c>
      <c r="U139">
        <v>0</v>
      </c>
      <c r="V139">
        <v>0</v>
      </c>
      <c r="W139" t="s">
        <v>16</v>
      </c>
    </row>
    <row r="140" spans="1:23" x14ac:dyDescent="0.35">
      <c r="A140" t="s">
        <v>160</v>
      </c>
      <c r="B140" t="str">
        <f t="shared" si="2"/>
        <v>French Polynesia</v>
      </c>
      <c r="C140" t="e">
        <f>VLOOKUP(B140,'Literacy Rate'!B138:C345,2,0)</f>
        <v>#N/A</v>
      </c>
      <c r="D140" t="e">
        <f>VLOOKUP(B140,'Life expectancy index'!B138:C345,2,0)</f>
        <v>#N/A</v>
      </c>
      <c r="E140" t="e">
        <f>VLOOKUP(A140,'Internet users, total (% of pop'!B138:C349,2,0)</f>
        <v>#N/A</v>
      </c>
      <c r="F140" t="e">
        <f>VLOOKUP(B140,'Income Index'!B138:C345,2,0)</f>
        <v>#N/A</v>
      </c>
      <c r="G140" t="e">
        <f>VLOOKUP(A140,'Human Development Index (HDI)	'!B138:C343,2,0)</f>
        <v>#N/A</v>
      </c>
      <c r="H140" t="e">
        <f>VLOOKUP(B140,'Government expenditure on educa'!B138:C346,2,0)</f>
        <v>#N/A</v>
      </c>
      <c r="I140" t="e">
        <f>VLOOKUP(B140,'GDP per capita (2017 PPP $)'!B138:C346,2,0)</f>
        <v>#N/A</v>
      </c>
      <c r="J140" t="e">
        <f>VLOOKUP(B140,'Forest area (% of total land ar'!B138:C348,2,0)</f>
        <v>#N/A</v>
      </c>
      <c r="L140" t="s">
        <v>44</v>
      </c>
      <c r="M140">
        <v>19007</v>
      </c>
      <c r="N140">
        <v>6766.27</v>
      </c>
      <c r="O140">
        <v>15</v>
      </c>
      <c r="P140">
        <v>5.34</v>
      </c>
      <c r="Q140">
        <v>0</v>
      </c>
      <c r="R140">
        <v>142</v>
      </c>
      <c r="S140">
        <v>50.55</v>
      </c>
      <c r="T140">
        <v>0</v>
      </c>
      <c r="U140">
        <v>0</v>
      </c>
      <c r="V140">
        <v>0</v>
      </c>
      <c r="W140" t="s">
        <v>109</v>
      </c>
    </row>
    <row r="141" spans="1:23" x14ac:dyDescent="0.35">
      <c r="A141" t="s">
        <v>161</v>
      </c>
      <c r="B141" t="str">
        <f t="shared" si="2"/>
        <v>Haiti</v>
      </c>
      <c r="C141" t="e">
        <f>VLOOKUP(B141,'Literacy Rate'!B139:C346,2,0)</f>
        <v>#N/A</v>
      </c>
      <c r="D141" t="e">
        <f>VLOOKUP(B141,'Life expectancy index'!B139:C346,2,0)</f>
        <v>#N/A</v>
      </c>
      <c r="E141" t="e">
        <f>VLOOKUP(A141,'Internet users, total (% of pop'!B139:C350,2,0)</f>
        <v>#N/A</v>
      </c>
      <c r="F141" t="e">
        <f>VLOOKUP(B141,'Income Index'!B139:C346,2,0)</f>
        <v>#N/A</v>
      </c>
      <c r="G141" t="e">
        <f>VLOOKUP(A141,'Human Development Index (HDI)	'!B139:C344,2,0)</f>
        <v>#N/A</v>
      </c>
      <c r="H141" t="e">
        <f>VLOOKUP(B141,'Government expenditure on educa'!B139:C347,2,0)</f>
        <v>#N/A</v>
      </c>
      <c r="I141" t="e">
        <f>VLOOKUP(B141,'GDP per capita (2017 PPP $)'!B139:C347,2,0)</f>
        <v>#N/A</v>
      </c>
      <c r="J141" t="e">
        <f>VLOOKUP(B141,'Forest area (% of total land ar'!B139:C349,2,0)</f>
        <v>#N/A</v>
      </c>
      <c r="L141" t="s">
        <v>15</v>
      </c>
      <c r="M141">
        <v>18658</v>
      </c>
      <c r="N141">
        <v>163.63</v>
      </c>
      <c r="O141">
        <v>695</v>
      </c>
      <c r="P141">
        <v>6.1</v>
      </c>
      <c r="Q141">
        <v>0</v>
      </c>
      <c r="R141">
        <v>436</v>
      </c>
      <c r="S141">
        <v>3.82</v>
      </c>
      <c r="T141">
        <v>36</v>
      </c>
      <c r="U141">
        <v>0.32</v>
      </c>
      <c r="V141">
        <v>0</v>
      </c>
      <c r="W141" t="s">
        <v>16</v>
      </c>
    </row>
    <row r="142" spans="1:23" x14ac:dyDescent="0.35">
      <c r="A142" t="s">
        <v>162</v>
      </c>
      <c r="B142" t="str">
        <f t="shared" si="2"/>
        <v>Viet Nam</v>
      </c>
      <c r="C142">
        <f>VLOOKUP(B142,'Literacy Rate'!B140:C347,2,0)</f>
        <v>95</v>
      </c>
      <c r="D142">
        <f>VLOOKUP(B142,'Life expectancy index'!B140:C347,2,0)</f>
        <v>0.85199999999999998</v>
      </c>
      <c r="E142">
        <f>VLOOKUP(A142,'Internet users, total (% of pop'!B140:C351,2,0)</f>
        <v>70.3</v>
      </c>
      <c r="F142">
        <f>VLOOKUP(B142,'Income Index'!B140:C347,2,0)</f>
        <v>0.65100000000000002</v>
      </c>
      <c r="G142">
        <f>VLOOKUP(A142,'Human Development Index (HDI)	'!B140:C345,2,0)</f>
        <v>0.70399999999999996</v>
      </c>
      <c r="H142">
        <f>VLOOKUP(B142,'Government expenditure on educa'!B140:C348,2,0)</f>
        <v>4.2</v>
      </c>
      <c r="I142">
        <f>VLOOKUP(B142,'GDP per capita (2017 PPP $)'!B140:C348,2,0)</f>
        <v>8041</v>
      </c>
      <c r="J142">
        <f>VLOOKUP(B142,'Forest area (% of total land ar'!B140:C350,2,0)</f>
        <v>48.1</v>
      </c>
      <c r="L142" t="s">
        <v>44</v>
      </c>
      <c r="M142">
        <v>17727</v>
      </c>
      <c r="N142">
        <v>18.21</v>
      </c>
      <c r="O142">
        <v>3404</v>
      </c>
      <c r="P142">
        <v>3.5</v>
      </c>
      <c r="Q142">
        <v>675</v>
      </c>
      <c r="R142">
        <v>81</v>
      </c>
      <c r="S142">
        <v>0.08</v>
      </c>
      <c r="T142">
        <v>9</v>
      </c>
      <c r="U142">
        <v>0.01</v>
      </c>
      <c r="V142">
        <v>0</v>
      </c>
      <c r="W142" t="s">
        <v>19</v>
      </c>
    </row>
    <row r="143" spans="1:23" x14ac:dyDescent="0.35">
      <c r="A143" t="s">
        <v>163</v>
      </c>
      <c r="B143" t="str">
        <f t="shared" si="2"/>
        <v>Guadeloupe</v>
      </c>
      <c r="C143" t="e">
        <f>VLOOKUP(B143,'Literacy Rate'!B141:C348,2,0)</f>
        <v>#N/A</v>
      </c>
      <c r="D143" t="e">
        <f>VLOOKUP(B143,'Life expectancy index'!B141:C348,2,0)</f>
        <v>#N/A</v>
      </c>
      <c r="E143" t="e">
        <f>VLOOKUP(A143,'Internet users, total (% of pop'!B141:C352,2,0)</f>
        <v>#N/A</v>
      </c>
      <c r="F143" t="e">
        <f>VLOOKUP(B143,'Income Index'!B141:C348,2,0)</f>
        <v>#N/A</v>
      </c>
      <c r="G143" t="e">
        <f>VLOOKUP(A143,'Human Development Index (HDI)	'!B141:C346,2,0)</f>
        <v>#N/A</v>
      </c>
      <c r="H143" t="e">
        <f>VLOOKUP(B143,'Government expenditure on educa'!B141:C349,2,0)</f>
        <v>#N/A</v>
      </c>
      <c r="I143" t="e">
        <f>VLOOKUP(B143,'GDP per capita (2017 PPP $)'!B141:C349,2,0)</f>
        <v>#N/A</v>
      </c>
      <c r="J143" t="e">
        <f>VLOOKUP(B143,'Forest area (% of total land ar'!B141:C351,2,0)</f>
        <v>#N/A</v>
      </c>
      <c r="L143" t="s">
        <v>15</v>
      </c>
      <c r="M143">
        <v>17539</v>
      </c>
      <c r="N143">
        <v>4383.3900000000003</v>
      </c>
      <c r="O143">
        <v>112</v>
      </c>
      <c r="P143">
        <v>27.99</v>
      </c>
      <c r="Q143">
        <v>0</v>
      </c>
      <c r="R143">
        <v>267</v>
      </c>
      <c r="S143">
        <v>66.73</v>
      </c>
      <c r="T143">
        <v>1</v>
      </c>
      <c r="U143">
        <v>0.25</v>
      </c>
      <c r="V143">
        <v>0</v>
      </c>
      <c r="W143" t="s">
        <v>16</v>
      </c>
    </row>
    <row r="144" spans="1:23" x14ac:dyDescent="0.35">
      <c r="A144" t="s">
        <v>164</v>
      </c>
      <c r="B144" t="str">
        <f t="shared" si="2"/>
        <v>Papua New Guinea</v>
      </c>
      <c r="C144" t="e">
        <f>VLOOKUP(B144,'Literacy Rate'!B142:C349,2,0)</f>
        <v>#N/A</v>
      </c>
      <c r="D144" t="e">
        <f>VLOOKUP(B144,'Life expectancy index'!B142:C349,2,0)</f>
        <v>#N/A</v>
      </c>
      <c r="E144" t="e">
        <f>VLOOKUP(A144,'Internet users, total (% of pop'!B142:C353,2,0)</f>
        <v>#N/A</v>
      </c>
      <c r="F144" t="e">
        <f>VLOOKUP(B144,'Income Index'!B142:C349,2,0)</f>
        <v>#N/A</v>
      </c>
      <c r="G144" t="e">
        <f>VLOOKUP(A144,'Human Development Index (HDI)	'!B142:C347,2,0)</f>
        <v>#N/A</v>
      </c>
      <c r="H144" t="e">
        <f>VLOOKUP(B144,'Government expenditure on educa'!B142:C350,2,0)</f>
        <v>#N/A</v>
      </c>
      <c r="I144" t="e">
        <f>VLOOKUP(B144,'GDP per capita (2017 PPP $)'!B142:C350,2,0)</f>
        <v>#N/A</v>
      </c>
      <c r="J144" t="e">
        <f>VLOOKUP(B144,'Forest area (% of total land ar'!B142:C352,2,0)</f>
        <v>#N/A</v>
      </c>
      <c r="L144" t="s">
        <v>44</v>
      </c>
      <c r="M144">
        <v>17238</v>
      </c>
      <c r="N144">
        <v>192.67</v>
      </c>
      <c r="O144">
        <v>100</v>
      </c>
      <c r="P144">
        <v>1.1200000000000001</v>
      </c>
      <c r="Q144">
        <v>10</v>
      </c>
      <c r="R144">
        <v>174</v>
      </c>
      <c r="S144">
        <v>1.94</v>
      </c>
      <c r="T144">
        <v>1</v>
      </c>
      <c r="U144">
        <v>0.01</v>
      </c>
      <c r="V144">
        <v>0</v>
      </c>
      <c r="W144" t="s">
        <v>16</v>
      </c>
    </row>
    <row r="145" spans="1:23" x14ac:dyDescent="0.35">
      <c r="A145" t="s">
        <v>165</v>
      </c>
      <c r="B145" t="str">
        <f t="shared" si="2"/>
        <v>Seychelles</v>
      </c>
      <c r="C145" t="e">
        <f>VLOOKUP(B145,'Literacy Rate'!B143:C350,2,0)</f>
        <v>#N/A</v>
      </c>
      <c r="D145">
        <f>VLOOKUP(B145,'Life expectancy index'!B143:C350,2,0)</f>
        <v>0.82199999999999995</v>
      </c>
      <c r="E145">
        <f>VLOOKUP(A145,'Internet users, total (% of pop'!B143:C354,2,0)</f>
        <v>58.8</v>
      </c>
      <c r="F145">
        <f>VLOOKUP(B145,'Income Index'!B143:C350,2,0)</f>
        <v>0.84499999999999997</v>
      </c>
      <c r="G145">
        <f>VLOOKUP(A145,'Human Development Index (HDI)	'!B143:C348,2,0)</f>
        <v>0.79600000000000004</v>
      </c>
      <c r="H145">
        <f>VLOOKUP(B145,'Government expenditure on educa'!B143:C351,2,0)</f>
        <v>4.4000000000000004</v>
      </c>
      <c r="I145">
        <f>VLOOKUP(B145,'GDP per capita (2017 PPP $)'!B143:C351,2,0)</f>
        <v>29056</v>
      </c>
      <c r="J145">
        <f>VLOOKUP(B145,'Forest area (% of total land ar'!B143:C353,2,0)</f>
        <v>88.4</v>
      </c>
      <c r="L145" t="s">
        <v>39</v>
      </c>
      <c r="M145">
        <v>15579</v>
      </c>
      <c r="N145">
        <v>15840.85</v>
      </c>
      <c r="O145">
        <v>468</v>
      </c>
      <c r="P145">
        <v>475.87</v>
      </c>
      <c r="Q145">
        <v>0</v>
      </c>
      <c r="R145">
        <v>68</v>
      </c>
      <c r="S145">
        <v>69.14</v>
      </c>
      <c r="T145">
        <v>13</v>
      </c>
      <c r="U145">
        <v>13.22</v>
      </c>
      <c r="V145">
        <v>0</v>
      </c>
      <c r="W145" t="s">
        <v>16</v>
      </c>
    </row>
    <row r="146" spans="1:23" x14ac:dyDescent="0.35">
      <c r="A146" t="s">
        <v>166</v>
      </c>
      <c r="B146" t="str">
        <f t="shared" si="2"/>
        <v>Somalia</v>
      </c>
      <c r="C146" t="e">
        <f>VLOOKUP(B146,'Literacy Rate'!B144:C351,2,0)</f>
        <v>#N/A</v>
      </c>
      <c r="D146">
        <f>VLOOKUP(B146,'Life expectancy index'!B144:C351,2,0)</f>
        <v>0.57499999999999996</v>
      </c>
      <c r="E146">
        <f>VLOOKUP(A146,'Internet users, total (% of pop'!B144:C355,2,0)</f>
        <v>2</v>
      </c>
      <c r="F146" t="e">
        <f>VLOOKUP(B146,'Income Index'!B144:C351,2,0)</f>
        <v>#N/A</v>
      </c>
      <c r="G146" t="e">
        <f>VLOOKUP(A146,'Human Development Index (HDI)	'!B144:C349,2,0)</f>
        <v>#N/A</v>
      </c>
      <c r="H146" t="e">
        <f>VLOOKUP(B146,'Government expenditure on educa'!B144:C352,2,0)</f>
        <v>#N/A</v>
      </c>
      <c r="I146" t="e">
        <f>VLOOKUP(B146,'GDP per capita (2017 PPP $)'!B144:C352,2,0)</f>
        <v>#N/A</v>
      </c>
      <c r="J146">
        <f>VLOOKUP(B146,'Forest area (% of total land ar'!B144:C354,2,0)</f>
        <v>10</v>
      </c>
      <c r="L146" t="s">
        <v>32</v>
      </c>
      <c r="M146">
        <v>14946</v>
      </c>
      <c r="N146">
        <v>94.04</v>
      </c>
      <c r="O146">
        <v>78</v>
      </c>
      <c r="P146">
        <v>0.49</v>
      </c>
      <c r="Q146">
        <v>13</v>
      </c>
      <c r="R146">
        <v>775</v>
      </c>
      <c r="S146">
        <v>4.88</v>
      </c>
      <c r="T146">
        <v>0</v>
      </c>
      <c r="U146">
        <v>0</v>
      </c>
      <c r="V146">
        <v>0</v>
      </c>
      <c r="W146" t="s">
        <v>16</v>
      </c>
    </row>
    <row r="147" spans="1:23" x14ac:dyDescent="0.35">
      <c r="A147" t="s">
        <v>167</v>
      </c>
      <c r="B147" t="str">
        <f t="shared" si="2"/>
        <v>Mali</v>
      </c>
      <c r="C147" t="e">
        <f>VLOOKUP(B147,'Literacy Rate'!B145:C352,2,0)</f>
        <v>#N/A</v>
      </c>
      <c r="D147" t="e">
        <f>VLOOKUP(B147,'Life expectancy index'!B145:C352,2,0)</f>
        <v>#N/A</v>
      </c>
      <c r="E147" t="e">
        <f>VLOOKUP(A147,'Internet users, total (% of pop'!B145:C356,2,0)</f>
        <v>#N/A</v>
      </c>
      <c r="F147" t="e">
        <f>VLOOKUP(B147,'Income Index'!B145:C352,2,0)</f>
        <v>#N/A</v>
      </c>
      <c r="G147" t="e">
        <f>VLOOKUP(A147,'Human Development Index (HDI)	'!B145:C350,2,0)</f>
        <v>#N/A</v>
      </c>
      <c r="H147" t="e">
        <f>VLOOKUP(B147,'Government expenditure on educa'!B145:C353,2,0)</f>
        <v>#N/A</v>
      </c>
      <c r="I147" t="e">
        <f>VLOOKUP(B147,'GDP per capita (2017 PPP $)'!B145:C353,2,0)</f>
        <v>#N/A</v>
      </c>
      <c r="J147" t="e">
        <f>VLOOKUP(B147,'Forest area (% of total land ar'!B145:C355,2,0)</f>
        <v>#N/A</v>
      </c>
      <c r="L147" t="s">
        <v>39</v>
      </c>
      <c r="M147">
        <v>14429</v>
      </c>
      <c r="N147">
        <v>71.25</v>
      </c>
      <c r="O147">
        <v>32</v>
      </c>
      <c r="P147">
        <v>0.16</v>
      </c>
      <c r="Q147">
        <v>2</v>
      </c>
      <c r="R147">
        <v>525</v>
      </c>
      <c r="S147">
        <v>2.59</v>
      </c>
      <c r="T147">
        <v>0</v>
      </c>
      <c r="U147">
        <v>0</v>
      </c>
      <c r="V147">
        <v>0</v>
      </c>
      <c r="W147" t="s">
        <v>16</v>
      </c>
    </row>
    <row r="148" spans="1:23" x14ac:dyDescent="0.35">
      <c r="A148" t="s">
        <v>168</v>
      </c>
      <c r="B148" t="str">
        <f t="shared" si="2"/>
        <v>Togo</v>
      </c>
      <c r="C148" t="e">
        <f>VLOOKUP(B148,'Literacy Rate'!B146:C353,2,0)</f>
        <v>#N/A</v>
      </c>
      <c r="D148">
        <f>VLOOKUP(B148,'Life expectancy index'!B146:C353,2,0)</f>
        <v>0.63100000000000001</v>
      </c>
      <c r="E148">
        <f>VLOOKUP(A148,'Internet users, total (% of pop'!B146:C357,2,0)</f>
        <v>12.4</v>
      </c>
      <c r="F148">
        <f>VLOOKUP(B148,'Income Index'!B146:C353,2,0)</f>
        <v>0.41899999999999998</v>
      </c>
      <c r="G148">
        <f>VLOOKUP(A148,'Human Development Index (HDI)	'!B146:C351,2,0)</f>
        <v>0.51500000000000001</v>
      </c>
      <c r="H148">
        <f>VLOOKUP(B148,'Government expenditure on educa'!B146:C354,2,0)</f>
        <v>5.4</v>
      </c>
      <c r="I148">
        <f>VLOOKUP(B148,'GDP per capita (2017 PPP $)'!B146:C354,2,0)</f>
        <v>1596</v>
      </c>
      <c r="J148">
        <f>VLOOKUP(B148,'Forest area (% of total land ar'!B146:C356,2,0)</f>
        <v>3.1</v>
      </c>
      <c r="L148" t="s">
        <v>39</v>
      </c>
      <c r="M148">
        <v>13962</v>
      </c>
      <c r="N148">
        <v>168.65</v>
      </c>
      <c r="O148">
        <v>199</v>
      </c>
      <c r="P148">
        <v>2.4</v>
      </c>
      <c r="Q148">
        <v>45</v>
      </c>
      <c r="R148">
        <v>130</v>
      </c>
      <c r="S148">
        <v>1.57</v>
      </c>
      <c r="T148">
        <v>2</v>
      </c>
      <c r="U148">
        <v>0.02</v>
      </c>
      <c r="V148">
        <v>1</v>
      </c>
      <c r="W148" t="s">
        <v>16</v>
      </c>
    </row>
    <row r="149" spans="1:23" x14ac:dyDescent="0.35">
      <c r="A149" t="s">
        <v>169</v>
      </c>
      <c r="B149" t="str">
        <f t="shared" si="2"/>
        <v>Tajikistan</v>
      </c>
      <c r="C149" t="e">
        <f>VLOOKUP(B149,'Literacy Rate'!B147:C354,2,0)</f>
        <v>#N/A</v>
      </c>
      <c r="D149">
        <f>VLOOKUP(B149,'Life expectancy index'!B147:C354,2,0)</f>
        <v>0.78600000000000003</v>
      </c>
      <c r="E149">
        <f>VLOOKUP(A149,'Internet users, total (% of pop'!B147:C358,2,0)</f>
        <v>22</v>
      </c>
      <c r="F149">
        <f>VLOOKUP(B149,'Income Index'!B147:C354,2,0)</f>
        <v>0.55500000000000005</v>
      </c>
      <c r="G149">
        <f>VLOOKUP(A149,'Human Development Index (HDI)	'!B147:C352,2,0)</f>
        <v>0.66800000000000004</v>
      </c>
      <c r="H149">
        <f>VLOOKUP(B149,'Government expenditure on educa'!B147:C355,2,0)</f>
        <v>5.2</v>
      </c>
      <c r="I149">
        <f>VLOOKUP(B149,'GDP per capita (2017 PPP $)'!B147:C355,2,0)</f>
        <v>3380</v>
      </c>
      <c r="J149">
        <f>VLOOKUP(B149,'Forest area (% of total land ar'!B147:C357,2,0)</f>
        <v>3</v>
      </c>
      <c r="L149" t="s">
        <v>22</v>
      </c>
      <c r="M149">
        <v>13929</v>
      </c>
      <c r="N149">
        <v>146.04</v>
      </c>
      <c r="O149">
        <v>131</v>
      </c>
      <c r="P149">
        <v>1.37</v>
      </c>
      <c r="Q149">
        <v>0</v>
      </c>
      <c r="R149">
        <v>91</v>
      </c>
      <c r="S149">
        <v>0.95</v>
      </c>
      <c r="T149">
        <v>0</v>
      </c>
      <c r="U149">
        <v>0</v>
      </c>
      <c r="V149">
        <v>0</v>
      </c>
      <c r="W149" t="s">
        <v>170</v>
      </c>
    </row>
    <row r="150" spans="1:23" x14ac:dyDescent="0.35">
      <c r="A150" t="s">
        <v>171</v>
      </c>
      <c r="B150" t="str">
        <f t="shared" si="2"/>
        <v>Andorra</v>
      </c>
      <c r="C150" t="str">
        <f>VLOOKUP(B150,'Literacy Rate'!B148:C355,2,0)</f>
        <v>..</v>
      </c>
      <c r="D150" t="e">
        <f>VLOOKUP(B150,'Life expectancy index'!B148:C355,2,0)</f>
        <v>#N/A</v>
      </c>
      <c r="E150" t="e">
        <f>VLOOKUP(A150,'Internet users, total (% of pop'!B148:C359,2,0)</f>
        <v>#N/A</v>
      </c>
      <c r="F150" t="e">
        <f>VLOOKUP(B150,'Income Index'!B148:C355,2,0)</f>
        <v>#N/A</v>
      </c>
      <c r="G150" t="e">
        <f>VLOOKUP(A150,'Human Development Index (HDI)	'!B148:C353,2,0)</f>
        <v>#N/A</v>
      </c>
      <c r="H150" t="e">
        <f>VLOOKUP(B150,'Government expenditure on educa'!B148:C356,2,0)</f>
        <v>#N/A</v>
      </c>
      <c r="I150" t="str">
        <f>VLOOKUP(B150,'GDP per capita (2017 PPP $)'!B148:C356,2,0)</f>
        <v>..</v>
      </c>
      <c r="J150" t="e">
        <f>VLOOKUP(B150,'Forest area (% of total land ar'!B148:C358,2,0)</f>
        <v>#N/A</v>
      </c>
      <c r="L150" t="s">
        <v>22</v>
      </c>
      <c r="M150">
        <v>13918</v>
      </c>
      <c r="N150">
        <v>18013.330000000002</v>
      </c>
      <c r="O150">
        <v>41</v>
      </c>
      <c r="P150">
        <v>53.06</v>
      </c>
      <c r="Q150">
        <v>7</v>
      </c>
      <c r="R150">
        <v>127</v>
      </c>
      <c r="S150">
        <v>164.37</v>
      </c>
      <c r="T150">
        <v>0</v>
      </c>
      <c r="U150">
        <v>0</v>
      </c>
      <c r="V150">
        <v>0</v>
      </c>
      <c r="W150" t="s">
        <v>16</v>
      </c>
    </row>
    <row r="151" spans="1:23" x14ac:dyDescent="0.35">
      <c r="A151" t="s">
        <v>172</v>
      </c>
      <c r="B151" t="str">
        <f t="shared" si="2"/>
        <v>Burkina Faso</v>
      </c>
      <c r="C151" t="e">
        <f>VLOOKUP(B151,'Literacy Rate'!B149:C356,2,0)</f>
        <v>#N/A</v>
      </c>
      <c r="D151" t="e">
        <f>VLOOKUP(B151,'Life expectancy index'!B149:C356,2,0)</f>
        <v>#N/A</v>
      </c>
      <c r="E151" t="e">
        <f>VLOOKUP(A151,'Internet users, total (% of pop'!B149:C360,2,0)</f>
        <v>#N/A</v>
      </c>
      <c r="F151" t="e">
        <f>VLOOKUP(B151,'Income Index'!B149:C356,2,0)</f>
        <v>#N/A</v>
      </c>
      <c r="G151" t="e">
        <f>VLOOKUP(A151,'Human Development Index (HDI)	'!B149:C354,2,0)</f>
        <v>#N/A</v>
      </c>
      <c r="H151" t="e">
        <f>VLOOKUP(B151,'Government expenditure on educa'!B149:C357,2,0)</f>
        <v>#N/A</v>
      </c>
      <c r="I151" t="e">
        <f>VLOOKUP(B151,'GDP per capita (2017 PPP $)'!B149:C357,2,0)</f>
        <v>#N/A</v>
      </c>
      <c r="J151" t="e">
        <f>VLOOKUP(B151,'Forest area (% of total land ar'!B149:C359,2,0)</f>
        <v>#N/A</v>
      </c>
      <c r="L151" t="s">
        <v>39</v>
      </c>
      <c r="M151">
        <v>13485</v>
      </c>
      <c r="N151">
        <v>64.510000000000005</v>
      </c>
      <c r="O151">
        <v>11</v>
      </c>
      <c r="P151">
        <v>0.05</v>
      </c>
      <c r="Q151">
        <v>4</v>
      </c>
      <c r="R151">
        <v>168</v>
      </c>
      <c r="S151">
        <v>0.8</v>
      </c>
      <c r="T151">
        <v>0</v>
      </c>
      <c r="U151">
        <v>0</v>
      </c>
      <c r="V151">
        <v>0</v>
      </c>
      <c r="W151" t="s">
        <v>16</v>
      </c>
    </row>
    <row r="152" spans="1:23" x14ac:dyDescent="0.35">
      <c r="A152" t="s">
        <v>173</v>
      </c>
      <c r="B152" t="str">
        <f t="shared" si="2"/>
        <v>Belize</v>
      </c>
      <c r="C152" t="str">
        <f>VLOOKUP(B152,'Literacy Rate'!B150:C357,2,0)</f>
        <v>..</v>
      </c>
      <c r="D152" t="e">
        <f>VLOOKUP(B152,'Life expectancy index'!B150:C357,2,0)</f>
        <v>#N/A</v>
      </c>
      <c r="E152" t="e">
        <f>VLOOKUP(A152,'Internet users, total (% of pop'!B150:C361,2,0)</f>
        <v>#N/A</v>
      </c>
      <c r="F152" t="e">
        <f>VLOOKUP(B152,'Income Index'!B150:C357,2,0)</f>
        <v>#N/A</v>
      </c>
      <c r="G152" t="e">
        <f>VLOOKUP(A152,'Human Development Index (HDI)	'!B150:C355,2,0)</f>
        <v>#N/A</v>
      </c>
      <c r="H152" t="e">
        <f>VLOOKUP(B152,'Government expenditure on educa'!B150:C358,2,0)</f>
        <v>#N/A</v>
      </c>
      <c r="I152" t="e">
        <f>VLOOKUP(B152,'GDP per capita (2017 PPP $)'!B150:C358,2,0)</f>
        <v>#N/A</v>
      </c>
      <c r="J152" t="e">
        <f>VLOOKUP(B152,'Forest area (% of total land ar'!B150:C360,2,0)</f>
        <v>#N/A</v>
      </c>
      <c r="L152" t="s">
        <v>15</v>
      </c>
      <c r="M152">
        <v>13251</v>
      </c>
      <c r="N152">
        <v>3332.51</v>
      </c>
      <c r="O152">
        <v>168</v>
      </c>
      <c r="P152">
        <v>42.25</v>
      </c>
      <c r="Q152">
        <v>24</v>
      </c>
      <c r="R152">
        <v>329</v>
      </c>
      <c r="S152">
        <v>82.74</v>
      </c>
      <c r="T152">
        <v>0</v>
      </c>
      <c r="U152">
        <v>0</v>
      </c>
      <c r="V152">
        <v>0</v>
      </c>
      <c r="W152" t="s">
        <v>16</v>
      </c>
    </row>
    <row r="153" spans="1:23" x14ac:dyDescent="0.35">
      <c r="A153" t="s">
        <v>174</v>
      </c>
      <c r="B153" t="str">
        <f t="shared" si="2"/>
        <v>Bahamas</v>
      </c>
      <c r="C153" t="str">
        <f>VLOOKUP(B153,'Literacy Rate'!B151:C358,2,0)</f>
        <v>..</v>
      </c>
      <c r="D153" t="e">
        <f>VLOOKUP(B153,'Life expectancy index'!B151:C358,2,0)</f>
        <v>#N/A</v>
      </c>
      <c r="E153" t="e">
        <f>VLOOKUP(A153,'Internet users, total (% of pop'!B151:C362,2,0)</f>
        <v>#N/A</v>
      </c>
      <c r="F153" t="e">
        <f>VLOOKUP(B153,'Income Index'!B151:C358,2,0)</f>
        <v>#N/A</v>
      </c>
      <c r="G153" t="e">
        <f>VLOOKUP(A153,'Human Development Index (HDI)	'!B151:C356,2,0)</f>
        <v>#N/A</v>
      </c>
      <c r="H153" t="e">
        <f>VLOOKUP(B153,'Government expenditure on educa'!B151:C359,2,0)</f>
        <v>#N/A</v>
      </c>
      <c r="I153" t="e">
        <f>VLOOKUP(B153,'GDP per capita (2017 PPP $)'!B151:C359,2,0)</f>
        <v>#N/A</v>
      </c>
      <c r="J153" t="e">
        <f>VLOOKUP(B153,'Forest area (% of total land ar'!B151:C361,2,0)</f>
        <v>#N/A</v>
      </c>
      <c r="L153" t="s">
        <v>15</v>
      </c>
      <c r="M153">
        <v>12735</v>
      </c>
      <c r="N153">
        <v>3238.45</v>
      </c>
      <c r="O153">
        <v>268</v>
      </c>
      <c r="P153">
        <v>68.150000000000006</v>
      </c>
      <c r="Q153">
        <v>36</v>
      </c>
      <c r="R153">
        <v>246</v>
      </c>
      <c r="S153">
        <v>62.56</v>
      </c>
      <c r="T153">
        <v>1</v>
      </c>
      <c r="U153">
        <v>0.25</v>
      </c>
      <c r="V153">
        <v>0</v>
      </c>
      <c r="W153" t="s">
        <v>19</v>
      </c>
    </row>
    <row r="154" spans="1:23" x14ac:dyDescent="0.35">
      <c r="A154" t="s">
        <v>175</v>
      </c>
      <c r="B154" t="str">
        <f t="shared" si="2"/>
        <v>Congo</v>
      </c>
      <c r="C154" t="e">
        <f>VLOOKUP(B154,'Literacy Rate'!B152:C359,2,0)</f>
        <v>#N/A</v>
      </c>
      <c r="D154" t="e">
        <f>VLOOKUP(B154,'Life expectancy index'!B152:C359,2,0)</f>
        <v>#N/A</v>
      </c>
      <c r="E154" t="e">
        <f>VLOOKUP(A154,'Internet users, total (% of pop'!B152:C363,2,0)</f>
        <v>#N/A</v>
      </c>
      <c r="F154" t="e">
        <f>VLOOKUP(B154,'Income Index'!B152:C359,2,0)</f>
        <v>#N/A</v>
      </c>
      <c r="G154" t="e">
        <f>VLOOKUP(A154,'Human Development Index (HDI)	'!B152:C357,2,0)</f>
        <v>#N/A</v>
      </c>
      <c r="H154" t="e">
        <f>VLOOKUP(B154,'Government expenditure on educa'!B152:C360,2,0)</f>
        <v>#N/A</v>
      </c>
      <c r="I154" t="e">
        <f>VLOOKUP(B154,'GDP per capita (2017 PPP $)'!B152:C360,2,0)</f>
        <v>#N/A</v>
      </c>
      <c r="J154" t="e">
        <f>VLOOKUP(B154,'Forest area (% of total land ar'!B152:C362,2,0)</f>
        <v>#N/A</v>
      </c>
      <c r="L154" t="s">
        <v>39</v>
      </c>
      <c r="M154">
        <v>12695</v>
      </c>
      <c r="N154">
        <v>230.06</v>
      </c>
      <c r="O154">
        <v>210</v>
      </c>
      <c r="P154">
        <v>3.81</v>
      </c>
      <c r="Q154">
        <v>0</v>
      </c>
      <c r="R154">
        <v>166</v>
      </c>
      <c r="S154">
        <v>3.01</v>
      </c>
      <c r="T154">
        <v>1</v>
      </c>
      <c r="U154">
        <v>0.02</v>
      </c>
      <c r="V154">
        <v>0</v>
      </c>
      <c r="W154" t="s">
        <v>16</v>
      </c>
    </row>
    <row r="155" spans="1:23" x14ac:dyDescent="0.35">
      <c r="A155" t="s">
        <v>176</v>
      </c>
      <c r="B155" t="str">
        <f t="shared" si="2"/>
        <v>Curaçao</v>
      </c>
      <c r="C155" t="e">
        <f>VLOOKUP(B155,'Literacy Rate'!B153:C360,2,0)</f>
        <v>#N/A</v>
      </c>
      <c r="D155" t="e">
        <f>VLOOKUP(B155,'Life expectancy index'!B153:C360,2,0)</f>
        <v>#N/A</v>
      </c>
      <c r="E155" t="e">
        <f>VLOOKUP(A155,'Internet users, total (% of pop'!B153:C364,2,0)</f>
        <v>#N/A</v>
      </c>
      <c r="F155" t="e">
        <f>VLOOKUP(B155,'Income Index'!B153:C360,2,0)</f>
        <v>#N/A</v>
      </c>
      <c r="G155" t="e">
        <f>VLOOKUP(A155,'Human Development Index (HDI)	'!B153:C358,2,0)</f>
        <v>#N/A</v>
      </c>
      <c r="H155" t="e">
        <f>VLOOKUP(B155,'Government expenditure on educa'!B153:C361,2,0)</f>
        <v>#N/A</v>
      </c>
      <c r="I155" t="e">
        <f>VLOOKUP(B155,'GDP per capita (2017 PPP $)'!B153:C361,2,0)</f>
        <v>#N/A</v>
      </c>
      <c r="J155" t="e">
        <f>VLOOKUP(B155,'Forest area (% of total land ar'!B153:C363,2,0)</f>
        <v>#N/A</v>
      </c>
      <c r="L155" t="s">
        <v>15</v>
      </c>
      <c r="M155">
        <v>12342</v>
      </c>
      <c r="N155">
        <v>7521.34</v>
      </c>
      <c r="O155">
        <v>20</v>
      </c>
      <c r="P155">
        <v>12.19</v>
      </c>
      <c r="Q155">
        <v>3</v>
      </c>
      <c r="R155">
        <v>126</v>
      </c>
      <c r="S155">
        <v>76.790000000000006</v>
      </c>
      <c r="T155">
        <v>1</v>
      </c>
      <c r="U155">
        <v>0.61</v>
      </c>
      <c r="V155">
        <v>0</v>
      </c>
      <c r="W155" t="s">
        <v>16</v>
      </c>
    </row>
    <row r="156" spans="1:23" x14ac:dyDescent="0.35">
      <c r="A156" t="s">
        <v>177</v>
      </c>
      <c r="B156" t="str">
        <f t="shared" si="2"/>
        <v>Martinique</v>
      </c>
      <c r="C156" t="e">
        <f>VLOOKUP(B156,'Literacy Rate'!B154:C361,2,0)</f>
        <v>#N/A</v>
      </c>
      <c r="D156" t="e">
        <f>VLOOKUP(B156,'Life expectancy index'!B154:C361,2,0)</f>
        <v>#N/A</v>
      </c>
      <c r="E156" t="e">
        <f>VLOOKUP(A156,'Internet users, total (% of pop'!B154:C365,2,0)</f>
        <v>#N/A</v>
      </c>
      <c r="F156" t="e">
        <f>VLOOKUP(B156,'Income Index'!B154:C361,2,0)</f>
        <v>#N/A</v>
      </c>
      <c r="G156" t="e">
        <f>VLOOKUP(A156,'Human Development Index (HDI)	'!B154:C359,2,0)</f>
        <v>#N/A</v>
      </c>
      <c r="H156" t="e">
        <f>VLOOKUP(B156,'Government expenditure on educa'!B154:C362,2,0)</f>
        <v>#N/A</v>
      </c>
      <c r="I156" t="e">
        <f>VLOOKUP(B156,'GDP per capita (2017 PPP $)'!B154:C362,2,0)</f>
        <v>#N/A</v>
      </c>
      <c r="J156" t="e">
        <f>VLOOKUP(B156,'Forest area (% of total land ar'!B154:C364,2,0)</f>
        <v>#N/A</v>
      </c>
      <c r="L156" t="s">
        <v>15</v>
      </c>
      <c r="M156">
        <v>12286</v>
      </c>
      <c r="N156">
        <v>3273.95</v>
      </c>
      <c r="O156">
        <v>87</v>
      </c>
      <c r="P156">
        <v>23.18</v>
      </c>
      <c r="Q156">
        <v>0</v>
      </c>
      <c r="R156">
        <v>98</v>
      </c>
      <c r="S156">
        <v>26.11</v>
      </c>
      <c r="T156">
        <v>0</v>
      </c>
      <c r="U156">
        <v>0</v>
      </c>
      <c r="V156">
        <v>0</v>
      </c>
      <c r="W156" t="s">
        <v>16</v>
      </c>
    </row>
    <row r="157" spans="1:23" x14ac:dyDescent="0.35">
      <c r="A157" t="s">
        <v>178</v>
      </c>
      <c r="B157" t="str">
        <f t="shared" si="2"/>
        <v>Djibouti</v>
      </c>
      <c r="C157" t="str">
        <f>VLOOKUP(B157,'Literacy Rate'!B155:C362,2,0)</f>
        <v>..</v>
      </c>
      <c r="D157" t="e">
        <f>VLOOKUP(B157,'Life expectancy index'!B155:C362,2,0)</f>
        <v>#N/A</v>
      </c>
      <c r="E157" t="e">
        <f>VLOOKUP(A157,'Internet users, total (% of pop'!B155:C366,2,0)</f>
        <v>#N/A</v>
      </c>
      <c r="F157" t="e">
        <f>VLOOKUP(B157,'Income Index'!B155:C362,2,0)</f>
        <v>#N/A</v>
      </c>
      <c r="G157" t="e">
        <f>VLOOKUP(A157,'Human Development Index (HDI)	'!B155:C360,2,0)</f>
        <v>#N/A</v>
      </c>
      <c r="H157" t="e">
        <f>VLOOKUP(B157,'Government expenditure on educa'!B155:C363,2,0)</f>
        <v>#N/A</v>
      </c>
      <c r="I157" t="e">
        <f>VLOOKUP(B157,'GDP per capita (2017 PPP $)'!B155:C363,2,0)</f>
        <v>#N/A</v>
      </c>
      <c r="J157" t="e">
        <f>VLOOKUP(B157,'Forest area (% of total land ar'!B155:C365,2,0)</f>
        <v>#N/A</v>
      </c>
      <c r="L157" t="s">
        <v>32</v>
      </c>
      <c r="M157">
        <v>11602</v>
      </c>
      <c r="N157">
        <v>1174.29</v>
      </c>
      <c r="O157">
        <v>5</v>
      </c>
      <c r="P157">
        <v>0.51</v>
      </c>
      <c r="Q157">
        <v>0</v>
      </c>
      <c r="R157">
        <v>155</v>
      </c>
      <c r="S157">
        <v>15.69</v>
      </c>
      <c r="T157">
        <v>0</v>
      </c>
      <c r="U157">
        <v>0</v>
      </c>
      <c r="V157">
        <v>0</v>
      </c>
      <c r="W157" t="s">
        <v>19</v>
      </c>
    </row>
    <row r="158" spans="1:23" x14ac:dyDescent="0.35">
      <c r="A158" t="s">
        <v>179</v>
      </c>
      <c r="B158" t="str">
        <f t="shared" si="2"/>
        <v>Lesotho</v>
      </c>
      <c r="C158" t="e">
        <f>VLOOKUP(B158,'Literacy Rate'!B156:C363,2,0)</f>
        <v>#N/A</v>
      </c>
      <c r="D158" t="e">
        <f>VLOOKUP(B158,'Life expectancy index'!B156:C363,2,0)</f>
        <v>#N/A</v>
      </c>
      <c r="E158" t="e">
        <f>VLOOKUP(A158,'Internet users, total (% of pop'!B156:C367,2,0)</f>
        <v>#N/A</v>
      </c>
      <c r="F158" t="e">
        <f>VLOOKUP(B158,'Income Index'!B156:C363,2,0)</f>
        <v>#N/A</v>
      </c>
      <c r="G158" t="e">
        <f>VLOOKUP(A158,'Human Development Index (HDI)	'!B156:C361,2,0)</f>
        <v>#N/A</v>
      </c>
      <c r="H158" t="e">
        <f>VLOOKUP(B158,'Government expenditure on educa'!B156:C364,2,0)</f>
        <v>#N/A</v>
      </c>
      <c r="I158" t="e">
        <f>VLOOKUP(B158,'GDP per capita (2017 PPP $)'!B156:C364,2,0)</f>
        <v>#N/A</v>
      </c>
      <c r="J158" t="e">
        <f>VLOOKUP(B158,'Forest area (% of total land ar'!B156:C366,2,0)</f>
        <v>#N/A</v>
      </c>
      <c r="L158" t="s">
        <v>39</v>
      </c>
      <c r="M158">
        <v>11544</v>
      </c>
      <c r="N158">
        <v>538.87</v>
      </c>
      <c r="O158">
        <v>376</v>
      </c>
      <c r="P158">
        <v>17.55</v>
      </c>
      <c r="Q158">
        <v>128</v>
      </c>
      <c r="R158">
        <v>329</v>
      </c>
      <c r="S158">
        <v>15.36</v>
      </c>
      <c r="T158">
        <v>0</v>
      </c>
      <c r="U158">
        <v>0</v>
      </c>
      <c r="V158">
        <v>0</v>
      </c>
      <c r="W158" t="s">
        <v>16</v>
      </c>
    </row>
    <row r="159" spans="1:23" x14ac:dyDescent="0.35">
      <c r="A159" t="s">
        <v>180</v>
      </c>
      <c r="B159" t="str">
        <f t="shared" si="2"/>
        <v>Aruba</v>
      </c>
      <c r="C159" t="e">
        <f>VLOOKUP(B159,'Literacy Rate'!B157:C364,2,0)</f>
        <v>#N/A</v>
      </c>
      <c r="D159" t="e">
        <f>VLOOKUP(B159,'Life expectancy index'!B157:C364,2,0)</f>
        <v>#N/A</v>
      </c>
      <c r="E159" t="e">
        <f>VLOOKUP(A159,'Internet users, total (% of pop'!B157:C368,2,0)</f>
        <v>#N/A</v>
      </c>
      <c r="F159" t="e">
        <f>VLOOKUP(B159,'Income Index'!B157:C364,2,0)</f>
        <v>#N/A</v>
      </c>
      <c r="G159" t="e">
        <f>VLOOKUP(A159,'Human Development Index (HDI)	'!B157:C362,2,0)</f>
        <v>#N/A</v>
      </c>
      <c r="H159" t="e">
        <f>VLOOKUP(B159,'Government expenditure on educa'!B157:C365,2,0)</f>
        <v>#N/A</v>
      </c>
      <c r="I159" t="e">
        <f>VLOOKUP(B159,'GDP per capita (2017 PPP $)'!B157:C365,2,0)</f>
        <v>#N/A</v>
      </c>
      <c r="J159" t="e">
        <f>VLOOKUP(B159,'Forest area (% of total land ar'!B157:C367,2,0)</f>
        <v>#N/A</v>
      </c>
      <c r="L159" t="s">
        <v>15</v>
      </c>
      <c r="M159">
        <v>11138</v>
      </c>
      <c r="N159">
        <v>10432.16</v>
      </c>
      <c r="O159">
        <v>20</v>
      </c>
      <c r="P159">
        <v>18.73</v>
      </c>
      <c r="Q159">
        <v>3</v>
      </c>
      <c r="R159">
        <v>107</v>
      </c>
      <c r="S159">
        <v>100.22</v>
      </c>
      <c r="T159">
        <v>0</v>
      </c>
      <c r="U159">
        <v>0</v>
      </c>
      <c r="V159">
        <v>0</v>
      </c>
      <c r="W159" t="s">
        <v>16</v>
      </c>
    </row>
    <row r="160" spans="1:23" x14ac:dyDescent="0.35">
      <c r="A160" t="s">
        <v>181</v>
      </c>
      <c r="B160" t="str">
        <f t="shared" si="2"/>
        <v>South Sudan</v>
      </c>
      <c r="C160" t="e">
        <f>VLOOKUP(B160,'Literacy Rate'!B158:C365,2,0)</f>
        <v>#N/A</v>
      </c>
      <c r="D160">
        <f>VLOOKUP(B160,'Life expectancy index'!B158:C365,2,0)</f>
        <v>0.58199999999999996</v>
      </c>
      <c r="E160">
        <f>VLOOKUP(A160,'Internet users, total (% of pop'!B158:C369,2,0)</f>
        <v>8</v>
      </c>
      <c r="F160">
        <f>VLOOKUP(B160,'Income Index'!B158:C365,2,0)</f>
        <v>0.45300000000000001</v>
      </c>
      <c r="G160">
        <f>VLOOKUP(A160,'Human Development Index (HDI)	'!B158:C363,2,0)</f>
        <v>0.433</v>
      </c>
      <c r="H160" t="e">
        <f>VLOOKUP(B160,'Government expenditure on educa'!B158:C366,2,0)</f>
        <v>#N/A</v>
      </c>
      <c r="I160" t="str">
        <f>VLOOKUP(B160,'GDP per capita (2017 PPP $)'!B158:C366,2,0)</f>
        <v>..</v>
      </c>
      <c r="J160" t="str">
        <f>VLOOKUP(B160,'Forest area (% of total land ar'!B158:C368,2,0)</f>
        <v>..</v>
      </c>
      <c r="L160" t="s">
        <v>39</v>
      </c>
      <c r="M160">
        <v>10866</v>
      </c>
      <c r="N160">
        <v>97.07</v>
      </c>
      <c r="O160">
        <v>54</v>
      </c>
      <c r="P160">
        <v>0.48</v>
      </c>
      <c r="Q160">
        <v>20</v>
      </c>
      <c r="R160">
        <v>117</v>
      </c>
      <c r="S160">
        <v>1.05</v>
      </c>
      <c r="T160">
        <v>2</v>
      </c>
      <c r="U160">
        <v>0.02</v>
      </c>
      <c r="V160">
        <v>0</v>
      </c>
      <c r="W160" t="s">
        <v>16</v>
      </c>
    </row>
    <row r="161" spans="1:23" x14ac:dyDescent="0.35">
      <c r="A161" t="s">
        <v>182</v>
      </c>
      <c r="B161" t="str">
        <f t="shared" si="2"/>
        <v>Timor-Leste</v>
      </c>
      <c r="C161" t="e">
        <f>VLOOKUP(B161,'Literacy Rate'!B159:C366,2,0)</f>
        <v>#N/A</v>
      </c>
      <c r="D161">
        <f>VLOOKUP(B161,'Life expectancy index'!B159:C366,2,0)</f>
        <v>0.76200000000000001</v>
      </c>
      <c r="E161">
        <f>VLOOKUP(A161,'Internet users, total (% of pop'!B159:C370,2,0)</f>
        <v>27.5</v>
      </c>
      <c r="F161">
        <f>VLOOKUP(B161,'Income Index'!B159:C366,2,0)</f>
        <v>0.57299999999999995</v>
      </c>
      <c r="G161">
        <f>VLOOKUP(A161,'Human Development Index (HDI)	'!B159:C364,2,0)</f>
        <v>0.60599999999999998</v>
      </c>
      <c r="H161">
        <f>VLOOKUP(B161,'Government expenditure on educa'!B159:C367,2,0)</f>
        <v>4.0999999999999996</v>
      </c>
      <c r="I161">
        <f>VLOOKUP(B161,'GDP per capita (2017 PPP $)'!B159:C367,2,0)</f>
        <v>3123</v>
      </c>
      <c r="J161">
        <f>VLOOKUP(B161,'Forest area (% of total land ar'!B159:C369,2,0)</f>
        <v>45.4</v>
      </c>
      <c r="L161" t="s">
        <v>18</v>
      </c>
      <c r="M161">
        <v>9361</v>
      </c>
      <c r="N161">
        <v>710</v>
      </c>
      <c r="O161">
        <v>449</v>
      </c>
      <c r="P161">
        <v>34.06</v>
      </c>
      <c r="Q161">
        <v>83</v>
      </c>
      <c r="R161">
        <v>24</v>
      </c>
      <c r="S161">
        <v>1.82</v>
      </c>
      <c r="T161">
        <v>4</v>
      </c>
      <c r="U161">
        <v>0.3</v>
      </c>
      <c r="V161">
        <v>0</v>
      </c>
      <c r="W161" t="s">
        <v>16</v>
      </c>
    </row>
    <row r="162" spans="1:23" x14ac:dyDescent="0.35">
      <c r="A162" t="s">
        <v>183</v>
      </c>
      <c r="B162" t="str">
        <f t="shared" si="2"/>
        <v>Equatorial Guinea</v>
      </c>
      <c r="C162" t="e">
        <f>VLOOKUP(B162,'Literacy Rate'!B160:C367,2,0)</f>
        <v>#N/A</v>
      </c>
      <c r="D162" t="e">
        <f>VLOOKUP(B162,'Life expectancy index'!B160:C367,2,0)</f>
        <v>#N/A</v>
      </c>
      <c r="E162" t="e">
        <f>VLOOKUP(A162,'Internet users, total (% of pop'!B160:C371,2,0)</f>
        <v>#N/A</v>
      </c>
      <c r="F162" t="e">
        <f>VLOOKUP(B162,'Income Index'!B160:C367,2,0)</f>
        <v>#N/A</v>
      </c>
      <c r="G162" t="e">
        <f>VLOOKUP(A162,'Human Development Index (HDI)	'!B160:C365,2,0)</f>
        <v>#N/A</v>
      </c>
      <c r="H162" t="str">
        <f>VLOOKUP(B162,'Government expenditure on educa'!B160:C368,2,0)</f>
        <v>..</v>
      </c>
      <c r="I162" t="e">
        <f>VLOOKUP(B162,'GDP per capita (2017 PPP $)'!B160:C368,2,0)</f>
        <v>#N/A</v>
      </c>
      <c r="J162" t="e">
        <f>VLOOKUP(B162,'Forest area (% of total land ar'!B160:C370,2,0)</f>
        <v>#N/A</v>
      </c>
      <c r="L162" t="s">
        <v>39</v>
      </c>
      <c r="M162">
        <v>8742</v>
      </c>
      <c r="N162">
        <v>623.1</v>
      </c>
      <c r="O162">
        <v>30</v>
      </c>
      <c r="P162">
        <v>2.14</v>
      </c>
      <c r="Q162">
        <v>8</v>
      </c>
      <c r="R162">
        <v>122</v>
      </c>
      <c r="S162">
        <v>8.6999999999999993</v>
      </c>
      <c r="T162">
        <v>2</v>
      </c>
      <c r="U162">
        <v>0.14000000000000001</v>
      </c>
      <c r="V162">
        <v>1</v>
      </c>
      <c r="W162" t="s">
        <v>16</v>
      </c>
    </row>
    <row r="163" spans="1:23" x14ac:dyDescent="0.35">
      <c r="A163" t="s">
        <v>184</v>
      </c>
      <c r="B163" t="str">
        <f t="shared" si="2"/>
        <v>Benin</v>
      </c>
      <c r="C163" t="e">
        <f>VLOOKUP(B163,'Literacy Rate'!B161:C368,2,0)</f>
        <v>#N/A</v>
      </c>
      <c r="D163" t="e">
        <f>VLOOKUP(B163,'Life expectancy index'!B161:C368,2,0)</f>
        <v>#N/A</v>
      </c>
      <c r="E163" t="e">
        <f>VLOOKUP(A163,'Internet users, total (% of pop'!B161:C372,2,0)</f>
        <v>#N/A</v>
      </c>
      <c r="F163" t="e">
        <f>VLOOKUP(B163,'Income Index'!B161:C368,2,0)</f>
        <v>#N/A</v>
      </c>
      <c r="G163" t="e">
        <f>VLOOKUP(A163,'Human Development Index (HDI)	'!B161:C366,2,0)</f>
        <v>#N/A</v>
      </c>
      <c r="H163" t="e">
        <f>VLOOKUP(B163,'Government expenditure on educa'!B161:C369,2,0)</f>
        <v>#N/A</v>
      </c>
      <c r="I163" t="e">
        <f>VLOOKUP(B163,'GDP per capita (2017 PPP $)'!B161:C369,2,0)</f>
        <v>#N/A</v>
      </c>
      <c r="J163" t="e">
        <f>VLOOKUP(B163,'Forest area (% of total land ar'!B161:C371,2,0)</f>
        <v>#N/A</v>
      </c>
      <c r="L163" t="s">
        <v>39</v>
      </c>
      <c r="M163">
        <v>8199</v>
      </c>
      <c r="N163">
        <v>67.63</v>
      </c>
      <c r="O163">
        <v>29</v>
      </c>
      <c r="P163">
        <v>0.24</v>
      </c>
      <c r="Q163">
        <v>0</v>
      </c>
      <c r="R163">
        <v>104</v>
      </c>
      <c r="S163">
        <v>0.86</v>
      </c>
      <c r="T163">
        <v>0</v>
      </c>
      <c r="U163">
        <v>0</v>
      </c>
      <c r="V163">
        <v>0</v>
      </c>
      <c r="W163" t="s">
        <v>16</v>
      </c>
    </row>
    <row r="164" spans="1:23" x14ac:dyDescent="0.35">
      <c r="A164" t="s">
        <v>185</v>
      </c>
      <c r="B164" t="str">
        <f t="shared" si="2"/>
        <v>Guam</v>
      </c>
      <c r="C164" t="e">
        <f>VLOOKUP(B164,'Literacy Rate'!B162:C369,2,0)</f>
        <v>#N/A</v>
      </c>
      <c r="D164" t="e">
        <f>VLOOKUP(B164,'Life expectancy index'!B162:C369,2,0)</f>
        <v>#N/A</v>
      </c>
      <c r="E164" t="e">
        <f>VLOOKUP(A164,'Internet users, total (% of pop'!B162:C373,2,0)</f>
        <v>#N/A</v>
      </c>
      <c r="F164" t="e">
        <f>VLOOKUP(B164,'Income Index'!B162:C369,2,0)</f>
        <v>#N/A</v>
      </c>
      <c r="G164" t="e">
        <f>VLOOKUP(A164,'Human Development Index (HDI)	'!B162:C367,2,0)</f>
        <v>#N/A</v>
      </c>
      <c r="H164" t="e">
        <f>VLOOKUP(B164,'Government expenditure on educa'!B162:C370,2,0)</f>
        <v>#N/A</v>
      </c>
      <c r="I164" t="e">
        <f>VLOOKUP(B164,'GDP per capita (2017 PPP $)'!B162:C370,2,0)</f>
        <v>#N/A</v>
      </c>
      <c r="J164" t="e">
        <f>VLOOKUP(B164,'Forest area (% of total land ar'!B162:C372,2,0)</f>
        <v>#N/A</v>
      </c>
      <c r="L164" t="s">
        <v>44</v>
      </c>
      <c r="M164">
        <v>8101</v>
      </c>
      <c r="N164">
        <v>4799.88</v>
      </c>
      <c r="O164">
        <v>41</v>
      </c>
      <c r="P164">
        <v>24.29</v>
      </c>
      <c r="Q164">
        <v>5</v>
      </c>
      <c r="R164">
        <v>140</v>
      </c>
      <c r="S164">
        <v>82.95</v>
      </c>
      <c r="T164">
        <v>1</v>
      </c>
      <c r="U164">
        <v>0.59</v>
      </c>
      <c r="V164">
        <v>0</v>
      </c>
      <c r="W164" t="s">
        <v>19</v>
      </c>
    </row>
    <row r="165" spans="1:23" x14ac:dyDescent="0.35">
      <c r="A165" t="s">
        <v>186</v>
      </c>
      <c r="B165" t="str">
        <f t="shared" si="2"/>
        <v>Central African Republic</v>
      </c>
      <c r="C165" t="e">
        <f>VLOOKUP(B165,'Literacy Rate'!B163:C370,2,0)</f>
        <v>#N/A</v>
      </c>
      <c r="D165" t="e">
        <f>VLOOKUP(B165,'Life expectancy index'!B163:C370,2,0)</f>
        <v>#N/A</v>
      </c>
      <c r="E165" t="e">
        <f>VLOOKUP(A165,'Internet users, total (% of pop'!B163:C374,2,0)</f>
        <v>#N/A</v>
      </c>
      <c r="F165" t="e">
        <f>VLOOKUP(B165,'Income Index'!B163:C370,2,0)</f>
        <v>#N/A</v>
      </c>
      <c r="G165" t="e">
        <f>VLOOKUP(A165,'Human Development Index (HDI)	'!B163:C368,2,0)</f>
        <v>#N/A</v>
      </c>
      <c r="H165" t="e">
        <f>VLOOKUP(B165,'Government expenditure on educa'!B163:C371,2,0)</f>
        <v>#N/A</v>
      </c>
      <c r="I165" t="e">
        <f>VLOOKUP(B165,'GDP per capita (2017 PPP $)'!B163:C371,2,0)</f>
        <v>#N/A</v>
      </c>
      <c r="J165" t="e">
        <f>VLOOKUP(B165,'Forest area (% of total land ar'!B163:C373,2,0)</f>
        <v>#N/A</v>
      </c>
      <c r="L165" t="s">
        <v>39</v>
      </c>
      <c r="M165">
        <v>7141</v>
      </c>
      <c r="N165">
        <v>147.85</v>
      </c>
      <c r="O165">
        <v>2</v>
      </c>
      <c r="P165">
        <v>0.04</v>
      </c>
      <c r="Q165">
        <v>0</v>
      </c>
      <c r="R165">
        <v>98</v>
      </c>
      <c r="S165">
        <v>2.0299999999999998</v>
      </c>
      <c r="T165">
        <v>0</v>
      </c>
      <c r="U165">
        <v>0</v>
      </c>
      <c r="V165">
        <v>0</v>
      </c>
      <c r="W165" t="s">
        <v>16</v>
      </c>
    </row>
    <row r="166" spans="1:23" x14ac:dyDescent="0.35">
      <c r="A166" t="s">
        <v>187</v>
      </c>
      <c r="B166" t="str">
        <f t="shared" si="2"/>
        <v>Yemen</v>
      </c>
      <c r="C166" t="str">
        <f>VLOOKUP(B166,'Literacy Rate'!B164:C371,2,0)</f>
        <v>..</v>
      </c>
      <c r="D166">
        <f>VLOOKUP(B166,'Life expectancy index'!B164:C371,2,0)</f>
        <v>0.71</v>
      </c>
      <c r="E166">
        <f>VLOOKUP(A166,'Internet users, total (% of pop'!B164:C375,2,0)</f>
        <v>26.7</v>
      </c>
      <c r="F166">
        <f>VLOOKUP(B166,'Income Index'!B164:C371,2,0)</f>
        <v>0.41799999999999998</v>
      </c>
      <c r="G166">
        <f>VLOOKUP(A166,'Human Development Index (HDI)	'!B164:C369,2,0)</f>
        <v>0.47</v>
      </c>
      <c r="H166" t="str">
        <f>VLOOKUP(B166,'Government expenditure on educa'!B164:C372,2,0)</f>
        <v>..</v>
      </c>
      <c r="I166" t="str">
        <f>VLOOKUP(B166,'GDP per capita (2017 PPP $)'!B164:C372,2,0)</f>
        <v>..</v>
      </c>
      <c r="J166">
        <f>VLOOKUP(B166,'Forest area (% of total land ar'!B164:C374,2,0)</f>
        <v>1</v>
      </c>
      <c r="L166" t="s">
        <v>32</v>
      </c>
      <c r="M166">
        <v>6920</v>
      </c>
      <c r="N166">
        <v>23.2</v>
      </c>
      <c r="O166">
        <v>22</v>
      </c>
      <c r="P166">
        <v>7.0000000000000007E-2</v>
      </c>
      <c r="Q166">
        <v>2</v>
      </c>
      <c r="R166">
        <v>1361</v>
      </c>
      <c r="S166">
        <v>4.5599999999999996</v>
      </c>
      <c r="T166">
        <v>6</v>
      </c>
      <c r="U166">
        <v>0.02</v>
      </c>
      <c r="V166">
        <v>0</v>
      </c>
      <c r="W166" t="s">
        <v>16</v>
      </c>
    </row>
    <row r="167" spans="1:23" x14ac:dyDescent="0.35">
      <c r="A167" t="s">
        <v>188</v>
      </c>
      <c r="B167" t="str">
        <f t="shared" si="2"/>
        <v>Iceland</v>
      </c>
      <c r="C167" t="str">
        <f>VLOOKUP(B167,'Literacy Rate'!B165:C372,2,0)</f>
        <v>..</v>
      </c>
      <c r="D167" t="e">
        <f>VLOOKUP(B167,'Life expectancy index'!B165:C372,2,0)</f>
        <v>#N/A</v>
      </c>
      <c r="E167" t="e">
        <f>VLOOKUP(A167,'Internet users, total (% of pop'!B165:C376,2,0)</f>
        <v>#N/A</v>
      </c>
      <c r="F167" t="e">
        <f>VLOOKUP(B167,'Income Index'!B165:C372,2,0)</f>
        <v>#N/A</v>
      </c>
      <c r="G167" t="e">
        <f>VLOOKUP(A167,'Human Development Index (HDI)	'!B165:C370,2,0)</f>
        <v>#N/A</v>
      </c>
      <c r="H167" t="e">
        <f>VLOOKUP(B167,'Government expenditure on educa'!B165:C373,2,0)</f>
        <v>#N/A</v>
      </c>
      <c r="I167" t="e">
        <f>VLOOKUP(B167,'GDP per capita (2017 PPP $)'!B165:C373,2,0)</f>
        <v>#N/A</v>
      </c>
      <c r="J167" t="e">
        <f>VLOOKUP(B167,'Forest area (% of total land ar'!B165:C375,2,0)</f>
        <v>#N/A</v>
      </c>
      <c r="L167" t="s">
        <v>22</v>
      </c>
      <c r="M167">
        <v>6654</v>
      </c>
      <c r="N167">
        <v>1827.35</v>
      </c>
      <c r="O167">
        <v>17</v>
      </c>
      <c r="P167">
        <v>4.67</v>
      </c>
      <c r="Q167">
        <v>5</v>
      </c>
      <c r="R167">
        <v>30</v>
      </c>
      <c r="S167">
        <v>8.24</v>
      </c>
      <c r="T167">
        <v>0</v>
      </c>
      <c r="U167">
        <v>0</v>
      </c>
      <c r="V167">
        <v>0</v>
      </c>
      <c r="W167" t="s">
        <v>16</v>
      </c>
    </row>
    <row r="168" spans="1:23" x14ac:dyDescent="0.35">
      <c r="A168" t="s">
        <v>189</v>
      </c>
      <c r="B168" t="str">
        <f t="shared" si="2"/>
        <v>Nicaragua</v>
      </c>
      <c r="C168" t="e">
        <f>VLOOKUP(B168,'Literacy Rate'!B166:C373,2,0)</f>
        <v>#N/A</v>
      </c>
      <c r="D168" t="e">
        <f>VLOOKUP(B168,'Life expectancy index'!B166:C373,2,0)</f>
        <v>#N/A</v>
      </c>
      <c r="E168" t="e">
        <f>VLOOKUP(A168,'Internet users, total (% of pop'!B166:C377,2,0)</f>
        <v>#N/A</v>
      </c>
      <c r="F168" t="e">
        <f>VLOOKUP(B168,'Income Index'!B166:C373,2,0)</f>
        <v>#N/A</v>
      </c>
      <c r="G168" t="e">
        <f>VLOOKUP(A168,'Human Development Index (HDI)	'!B166:C371,2,0)</f>
        <v>#N/A</v>
      </c>
      <c r="H168" t="e">
        <f>VLOOKUP(B168,'Government expenditure on educa'!B166:C374,2,0)</f>
        <v>#N/A</v>
      </c>
      <c r="I168" t="e">
        <f>VLOOKUP(B168,'GDP per capita (2017 PPP $)'!B166:C374,2,0)</f>
        <v>#N/A</v>
      </c>
      <c r="J168" t="e">
        <f>VLOOKUP(B168,'Forest area (% of total land ar'!B166:C376,2,0)</f>
        <v>#N/A</v>
      </c>
      <c r="L168" t="s">
        <v>15</v>
      </c>
      <c r="M168">
        <v>6604</v>
      </c>
      <c r="N168">
        <v>99.69</v>
      </c>
      <c r="O168">
        <v>202</v>
      </c>
      <c r="P168">
        <v>3.05</v>
      </c>
      <c r="Q168">
        <v>0</v>
      </c>
      <c r="R168">
        <v>191</v>
      </c>
      <c r="S168">
        <v>2.88</v>
      </c>
      <c r="T168">
        <v>1</v>
      </c>
      <c r="U168">
        <v>0.02</v>
      </c>
      <c r="V168">
        <v>0</v>
      </c>
      <c r="W168" t="s">
        <v>16</v>
      </c>
    </row>
    <row r="169" spans="1:23" x14ac:dyDescent="0.35">
      <c r="A169" t="s">
        <v>190</v>
      </c>
      <c r="B169" t="str">
        <f t="shared" si="2"/>
        <v>Gambia</v>
      </c>
      <c r="C169" t="e">
        <f>VLOOKUP(B169,'Literacy Rate'!B167:C374,2,0)</f>
        <v>#N/A</v>
      </c>
      <c r="D169" t="e">
        <f>VLOOKUP(B169,'Life expectancy index'!B167:C374,2,0)</f>
        <v>#N/A</v>
      </c>
      <c r="E169" t="e">
        <f>VLOOKUP(A169,'Internet users, total (% of pop'!B167:C378,2,0)</f>
        <v>#N/A</v>
      </c>
      <c r="F169" t="e">
        <f>VLOOKUP(B169,'Income Index'!B167:C374,2,0)</f>
        <v>#N/A</v>
      </c>
      <c r="G169" t="e">
        <f>VLOOKUP(A169,'Human Development Index (HDI)	'!B167:C372,2,0)</f>
        <v>#N/A</v>
      </c>
      <c r="H169" t="e">
        <f>VLOOKUP(B169,'Government expenditure on educa'!B167:C375,2,0)</f>
        <v>#N/A</v>
      </c>
      <c r="I169" t="e">
        <f>VLOOKUP(B169,'GDP per capita (2017 PPP $)'!B167:C375,2,0)</f>
        <v>#N/A</v>
      </c>
      <c r="J169" t="e">
        <f>VLOOKUP(B169,'Forest area (% of total land ar'!B167:C377,2,0)</f>
        <v>#N/A</v>
      </c>
      <c r="L169" t="s">
        <v>39</v>
      </c>
      <c r="M169">
        <v>6079</v>
      </c>
      <c r="N169">
        <v>251.54</v>
      </c>
      <c r="O169">
        <v>14</v>
      </c>
      <c r="P169">
        <v>0.57999999999999996</v>
      </c>
      <c r="Q169">
        <v>0</v>
      </c>
      <c r="R169">
        <v>181</v>
      </c>
      <c r="S169">
        <v>7.49</v>
      </c>
      <c r="T169">
        <v>0</v>
      </c>
      <c r="U169">
        <v>0</v>
      </c>
      <c r="V169">
        <v>0</v>
      </c>
      <c r="W169" t="s">
        <v>16</v>
      </c>
    </row>
    <row r="170" spans="1:23" x14ac:dyDescent="0.35">
      <c r="A170" t="s">
        <v>191</v>
      </c>
      <c r="B170" t="str">
        <f t="shared" si="2"/>
        <v>Eritrea</v>
      </c>
      <c r="C170" t="e">
        <f>VLOOKUP(B170,'Literacy Rate'!B168:C375,2,0)</f>
        <v>#N/A</v>
      </c>
      <c r="D170" t="e">
        <f>VLOOKUP(B170,'Life expectancy index'!B168:C375,2,0)</f>
        <v>#N/A</v>
      </c>
      <c r="E170" t="e">
        <f>VLOOKUP(A170,'Internet users, total (% of pop'!B168:C379,2,0)</f>
        <v>#N/A</v>
      </c>
      <c r="F170" t="e">
        <f>VLOOKUP(B170,'Income Index'!B168:C375,2,0)</f>
        <v>#N/A</v>
      </c>
      <c r="G170" t="e">
        <f>VLOOKUP(A170,'Human Development Index (HDI)	'!B168:C373,2,0)</f>
        <v>#N/A</v>
      </c>
      <c r="H170" t="str">
        <f>VLOOKUP(B170,'Government expenditure on educa'!B168:C376,2,0)</f>
        <v>..</v>
      </c>
      <c r="I170" t="str">
        <f>VLOOKUP(B170,'GDP per capita (2017 PPP $)'!B168:C376,2,0)</f>
        <v>..</v>
      </c>
      <c r="J170" t="e">
        <f>VLOOKUP(B170,'Forest area (% of total land ar'!B168:C378,2,0)</f>
        <v>#N/A</v>
      </c>
      <c r="L170" t="s">
        <v>39</v>
      </c>
      <c r="M170">
        <v>6028</v>
      </c>
      <c r="N170">
        <v>169.97</v>
      </c>
      <c r="O170">
        <v>364</v>
      </c>
      <c r="P170">
        <v>10.26</v>
      </c>
      <c r="Q170">
        <v>19</v>
      </c>
      <c r="R170">
        <v>25</v>
      </c>
      <c r="S170">
        <v>0.7</v>
      </c>
      <c r="T170">
        <v>4</v>
      </c>
      <c r="U170">
        <v>0.11</v>
      </c>
      <c r="V170">
        <v>2</v>
      </c>
      <c r="W170" t="s">
        <v>16</v>
      </c>
    </row>
    <row r="171" spans="1:23" x14ac:dyDescent="0.35">
      <c r="A171" t="s">
        <v>192</v>
      </c>
      <c r="B171" t="str">
        <f t="shared" si="2"/>
        <v>Sierra Leone</v>
      </c>
      <c r="C171" t="e">
        <f>VLOOKUP(B171,'Literacy Rate'!B169:C376,2,0)</f>
        <v>#N/A</v>
      </c>
      <c r="D171" t="e">
        <f>VLOOKUP(B171,'Life expectancy index'!B169:C376,2,0)</f>
        <v>#N/A</v>
      </c>
      <c r="E171" t="e">
        <f>VLOOKUP(A171,'Internet users, total (% of pop'!B169:C380,2,0)</f>
        <v>#N/A</v>
      </c>
      <c r="F171" t="e">
        <f>VLOOKUP(B171,'Income Index'!B169:C376,2,0)</f>
        <v>#N/A</v>
      </c>
      <c r="G171" t="e">
        <f>VLOOKUP(A171,'Human Development Index (HDI)	'!B169:C374,2,0)</f>
        <v>#N/A</v>
      </c>
      <c r="H171" t="e">
        <f>VLOOKUP(B171,'Government expenditure on educa'!B169:C377,2,0)</f>
        <v>#N/A</v>
      </c>
      <c r="I171" t="e">
        <f>VLOOKUP(B171,'GDP per capita (2017 PPP $)'!B169:C377,2,0)</f>
        <v>#N/A</v>
      </c>
      <c r="J171" t="e">
        <f>VLOOKUP(B171,'Forest area (% of total land ar'!B169:C379,2,0)</f>
        <v>#N/A</v>
      </c>
      <c r="L171" t="s">
        <v>39</v>
      </c>
      <c r="M171">
        <v>5652</v>
      </c>
      <c r="N171">
        <v>70.849999999999994</v>
      </c>
      <c r="O171">
        <v>497</v>
      </c>
      <c r="P171">
        <v>6.23</v>
      </c>
      <c r="Q171">
        <v>77</v>
      </c>
      <c r="R171">
        <v>102</v>
      </c>
      <c r="S171">
        <v>1.28</v>
      </c>
      <c r="T171">
        <v>15</v>
      </c>
      <c r="U171">
        <v>0.19</v>
      </c>
      <c r="V171">
        <v>2</v>
      </c>
      <c r="W171" t="s">
        <v>16</v>
      </c>
    </row>
    <row r="172" spans="1:23" x14ac:dyDescent="0.35">
      <c r="A172" t="s">
        <v>193</v>
      </c>
      <c r="B172" t="str">
        <f t="shared" si="2"/>
        <v>Burundi</v>
      </c>
      <c r="C172" t="e">
        <f>VLOOKUP(B172,'Literacy Rate'!B170:C377,2,0)</f>
        <v>#N/A</v>
      </c>
      <c r="D172" t="e">
        <f>VLOOKUP(B172,'Life expectancy index'!B170:C377,2,0)</f>
        <v>#N/A</v>
      </c>
      <c r="E172" t="e">
        <f>VLOOKUP(A172,'Internet users, total (% of pop'!B170:C381,2,0)</f>
        <v>#N/A</v>
      </c>
      <c r="F172" t="e">
        <f>VLOOKUP(B172,'Income Index'!B170:C377,2,0)</f>
        <v>#N/A</v>
      </c>
      <c r="G172" t="e">
        <f>VLOOKUP(A172,'Human Development Index (HDI)	'!B170:C375,2,0)</f>
        <v>#N/A</v>
      </c>
      <c r="H172" t="e">
        <f>VLOOKUP(B172,'Government expenditure on educa'!B170:C378,2,0)</f>
        <v>#N/A</v>
      </c>
      <c r="I172" t="e">
        <f>VLOOKUP(B172,'GDP per capita (2017 PPP $)'!B170:C378,2,0)</f>
        <v>#N/A</v>
      </c>
      <c r="J172" t="e">
        <f>VLOOKUP(B172,'Forest area (% of total land ar'!B170:C380,2,0)</f>
        <v>#N/A</v>
      </c>
      <c r="L172" t="s">
        <v>39</v>
      </c>
      <c r="M172">
        <v>5494</v>
      </c>
      <c r="N172">
        <v>46.2</v>
      </c>
      <c r="O172">
        <v>146</v>
      </c>
      <c r="P172">
        <v>1.23</v>
      </c>
      <c r="Q172">
        <v>12</v>
      </c>
      <c r="R172">
        <v>8</v>
      </c>
      <c r="S172">
        <v>7.0000000000000007E-2</v>
      </c>
      <c r="T172">
        <v>0</v>
      </c>
      <c r="U172">
        <v>0</v>
      </c>
      <c r="V172">
        <v>0</v>
      </c>
      <c r="W172" t="s">
        <v>16</v>
      </c>
    </row>
    <row r="173" spans="1:23" x14ac:dyDescent="0.35">
      <c r="A173" t="s">
        <v>194</v>
      </c>
      <c r="B173" t="str">
        <f t="shared" si="2"/>
        <v>Niger</v>
      </c>
      <c r="C173" t="e">
        <f>VLOOKUP(B173,'Literacy Rate'!B171:C378,2,0)</f>
        <v>#N/A</v>
      </c>
      <c r="D173" t="e">
        <f>VLOOKUP(B173,'Life expectancy index'!B171:C378,2,0)</f>
        <v>#N/A</v>
      </c>
      <c r="E173" t="e">
        <f>VLOOKUP(A173,'Internet users, total (% of pop'!B171:C382,2,0)</f>
        <v>#N/A</v>
      </c>
      <c r="F173" t="e">
        <f>VLOOKUP(B173,'Income Index'!B171:C378,2,0)</f>
        <v>#N/A</v>
      </c>
      <c r="G173" t="e">
        <f>VLOOKUP(A173,'Human Development Index (HDI)	'!B171:C376,2,0)</f>
        <v>#N/A</v>
      </c>
      <c r="H173" t="e">
        <f>VLOOKUP(B173,'Government expenditure on educa'!B171:C379,2,0)</f>
        <v>#N/A</v>
      </c>
      <c r="I173" t="e">
        <f>VLOOKUP(B173,'GDP per capita (2017 PPP $)'!B171:C379,2,0)</f>
        <v>#N/A</v>
      </c>
      <c r="J173" t="e">
        <f>VLOOKUP(B173,'Forest area (% of total land ar'!B171:C381,2,0)</f>
        <v>#N/A</v>
      </c>
      <c r="L173" t="s">
        <v>39</v>
      </c>
      <c r="M173">
        <v>5492</v>
      </c>
      <c r="N173">
        <v>22.69</v>
      </c>
      <c r="O173">
        <v>17</v>
      </c>
      <c r="P173">
        <v>7.0000000000000007E-2</v>
      </c>
      <c r="Q173">
        <v>3</v>
      </c>
      <c r="R173">
        <v>193</v>
      </c>
      <c r="S173">
        <v>0.8</v>
      </c>
      <c r="T173">
        <v>0</v>
      </c>
      <c r="U173">
        <v>0</v>
      </c>
      <c r="V173">
        <v>0</v>
      </c>
      <c r="W173" t="s">
        <v>16</v>
      </c>
    </row>
    <row r="174" spans="1:23" x14ac:dyDescent="0.35">
      <c r="A174" t="s">
        <v>195</v>
      </c>
      <c r="B174" t="str">
        <f t="shared" si="2"/>
        <v>Saint Lucia</v>
      </c>
      <c r="C174" t="str">
        <f>VLOOKUP(B174,'Literacy Rate'!B172:C379,2,0)</f>
        <v>..</v>
      </c>
      <c r="D174" t="e">
        <f>VLOOKUP(B174,'Life expectancy index'!B172:C379,2,0)</f>
        <v>#N/A</v>
      </c>
      <c r="E174" t="e">
        <f>VLOOKUP(A174,'Internet users, total (% of pop'!B172:C383,2,0)</f>
        <v>#N/A</v>
      </c>
      <c r="F174" t="e">
        <f>VLOOKUP(B174,'Income Index'!B172:C379,2,0)</f>
        <v>#N/A</v>
      </c>
      <c r="G174" t="e">
        <f>VLOOKUP(A174,'Human Development Index (HDI)	'!B172:C377,2,0)</f>
        <v>#N/A</v>
      </c>
      <c r="H174" t="e">
        <f>VLOOKUP(B174,'Government expenditure on educa'!B172:C380,2,0)</f>
        <v>#N/A</v>
      </c>
      <c r="I174" t="e">
        <f>VLOOKUP(B174,'GDP per capita (2017 PPP $)'!B172:C380,2,0)</f>
        <v>#N/A</v>
      </c>
      <c r="J174" t="e">
        <f>VLOOKUP(B174,'Forest area (% of total land ar'!B172:C382,2,0)</f>
        <v>#N/A</v>
      </c>
      <c r="L174" t="s">
        <v>15</v>
      </c>
      <c r="M174">
        <v>5296</v>
      </c>
      <c r="N174">
        <v>2884.11</v>
      </c>
      <c r="O174">
        <v>58</v>
      </c>
      <c r="P174">
        <v>31.59</v>
      </c>
      <c r="Q174">
        <v>4</v>
      </c>
      <c r="R174">
        <v>84</v>
      </c>
      <c r="S174">
        <v>45.74</v>
      </c>
      <c r="T174">
        <v>0</v>
      </c>
      <c r="U174">
        <v>0</v>
      </c>
      <c r="V174">
        <v>0</v>
      </c>
      <c r="W174" t="s">
        <v>16</v>
      </c>
    </row>
    <row r="175" spans="1:23" x14ac:dyDescent="0.35">
      <c r="A175" t="s">
        <v>196</v>
      </c>
      <c r="B175" t="str">
        <f t="shared" si="2"/>
        <v>San Marino</v>
      </c>
      <c r="C175" t="e">
        <f>VLOOKUP(B175,'Literacy Rate'!B173:C380,2,0)</f>
        <v>#N/A</v>
      </c>
      <c r="D175" t="e">
        <f>VLOOKUP(B175,'Life expectancy index'!B173:C380,2,0)</f>
        <v>#N/A</v>
      </c>
      <c r="E175" t="e">
        <f>VLOOKUP(A175,'Internet users, total (% of pop'!B173:C384,2,0)</f>
        <v>#N/A</v>
      </c>
      <c r="F175" t="e">
        <f>VLOOKUP(B175,'Income Index'!B173:C380,2,0)</f>
        <v>#N/A</v>
      </c>
      <c r="G175" t="e">
        <f>VLOOKUP(A175,'Human Development Index (HDI)	'!B173:C378,2,0)</f>
        <v>#N/A</v>
      </c>
      <c r="H175" t="e">
        <f>VLOOKUP(B175,'Government expenditure on educa'!B173:C381,2,0)</f>
        <v>#N/A</v>
      </c>
      <c r="I175" t="e">
        <f>VLOOKUP(B175,'GDP per capita (2017 PPP $)'!B173:C381,2,0)</f>
        <v>#N/A</v>
      </c>
      <c r="J175" t="e">
        <f>VLOOKUP(B175,'Forest area (% of total land ar'!B173:C383,2,0)</f>
        <v>#N/A</v>
      </c>
      <c r="L175" t="s">
        <v>22</v>
      </c>
      <c r="M175">
        <v>5092</v>
      </c>
      <c r="N175">
        <v>15003.83</v>
      </c>
      <c r="O175">
        <v>1</v>
      </c>
      <c r="P175">
        <v>2.95</v>
      </c>
      <c r="Q175">
        <v>0</v>
      </c>
      <c r="R175">
        <v>90</v>
      </c>
      <c r="S175">
        <v>265.19</v>
      </c>
      <c r="T175">
        <v>0</v>
      </c>
      <c r="U175">
        <v>0</v>
      </c>
      <c r="V175">
        <v>0</v>
      </c>
      <c r="W175" t="s">
        <v>16</v>
      </c>
    </row>
    <row r="176" spans="1:23" x14ac:dyDescent="0.35">
      <c r="A176" t="s">
        <v>197</v>
      </c>
      <c r="B176" t="str">
        <f t="shared" si="2"/>
        <v>Chad</v>
      </c>
      <c r="C176" t="e">
        <f>VLOOKUP(B176,'Literacy Rate'!B174:C381,2,0)</f>
        <v>#N/A</v>
      </c>
      <c r="D176" t="e">
        <f>VLOOKUP(B176,'Life expectancy index'!B174:C381,2,0)</f>
        <v>#N/A</v>
      </c>
      <c r="E176" t="e">
        <f>VLOOKUP(A176,'Internet users, total (% of pop'!B174:C385,2,0)</f>
        <v>#N/A</v>
      </c>
      <c r="F176" t="e">
        <f>VLOOKUP(B176,'Income Index'!B174:C381,2,0)</f>
        <v>#N/A</v>
      </c>
      <c r="G176" t="e">
        <f>VLOOKUP(A176,'Human Development Index (HDI)	'!B174:C379,2,0)</f>
        <v>#N/A</v>
      </c>
      <c r="H176" t="e">
        <f>VLOOKUP(B176,'Government expenditure on educa'!B174:C382,2,0)</f>
        <v>#N/A</v>
      </c>
      <c r="I176" t="e">
        <f>VLOOKUP(B176,'GDP per capita (2017 PPP $)'!B174:C382,2,0)</f>
        <v>#N/A</v>
      </c>
      <c r="J176" t="e">
        <f>VLOOKUP(B176,'Forest area (% of total land ar'!B174:C384,2,0)</f>
        <v>#N/A</v>
      </c>
      <c r="L176" t="s">
        <v>39</v>
      </c>
      <c r="M176">
        <v>4951</v>
      </c>
      <c r="N176">
        <v>30.14</v>
      </c>
      <c r="O176">
        <v>0</v>
      </c>
      <c r="P176">
        <v>0</v>
      </c>
      <c r="Q176">
        <v>0</v>
      </c>
      <c r="R176">
        <v>174</v>
      </c>
      <c r="S176">
        <v>1.06</v>
      </c>
      <c r="T176">
        <v>0</v>
      </c>
      <c r="U176">
        <v>0</v>
      </c>
      <c r="V176">
        <v>0</v>
      </c>
      <c r="W176" t="s">
        <v>16</v>
      </c>
    </row>
    <row r="177" spans="1:23" x14ac:dyDescent="0.35">
      <c r="A177" t="s">
        <v>198</v>
      </c>
      <c r="B177" t="str">
        <f t="shared" si="2"/>
        <v>Fiji</v>
      </c>
      <c r="C177" t="e">
        <f>VLOOKUP(B177,'Literacy Rate'!B175:C382,2,0)</f>
        <v>#N/A</v>
      </c>
      <c r="D177" t="e">
        <f>VLOOKUP(B177,'Life expectancy index'!B175:C382,2,0)</f>
        <v>#N/A</v>
      </c>
      <c r="E177" t="e">
        <f>VLOOKUP(A177,'Internet users, total (% of pop'!B175:C386,2,0)</f>
        <v>#N/A</v>
      </c>
      <c r="F177" t="e">
        <f>VLOOKUP(B177,'Income Index'!B175:C382,2,0)</f>
        <v>#N/A</v>
      </c>
      <c r="G177" t="e">
        <f>VLOOKUP(A177,'Human Development Index (HDI)	'!B175:C380,2,0)</f>
        <v>#N/A</v>
      </c>
      <c r="H177" t="e">
        <f>VLOOKUP(B177,'Government expenditure on educa'!B175:C383,2,0)</f>
        <v>#N/A</v>
      </c>
      <c r="I177" t="e">
        <f>VLOOKUP(B177,'GDP per capita (2017 PPP $)'!B175:C383,2,0)</f>
        <v>#N/A</v>
      </c>
      <c r="J177" t="e">
        <f>VLOOKUP(B177,'Forest area (% of total land ar'!B175:C385,2,0)</f>
        <v>#N/A</v>
      </c>
      <c r="L177" t="s">
        <v>44</v>
      </c>
      <c r="M177">
        <v>4849</v>
      </c>
      <c r="N177">
        <v>540.91</v>
      </c>
      <c r="O177">
        <v>2001</v>
      </c>
      <c r="P177">
        <v>223.22</v>
      </c>
      <c r="Q177">
        <v>431</v>
      </c>
      <c r="R177">
        <v>24</v>
      </c>
      <c r="S177">
        <v>2.68</v>
      </c>
      <c r="T177">
        <v>11</v>
      </c>
      <c r="U177">
        <v>1.23</v>
      </c>
      <c r="V177">
        <v>3</v>
      </c>
      <c r="W177" t="s">
        <v>109</v>
      </c>
    </row>
    <row r="178" spans="1:23" x14ac:dyDescent="0.35">
      <c r="A178" t="s">
        <v>199</v>
      </c>
      <c r="B178" t="str">
        <f t="shared" si="2"/>
        <v>Gibraltar</v>
      </c>
      <c r="C178" t="e">
        <f>VLOOKUP(B178,'Literacy Rate'!B176:C383,2,0)</f>
        <v>#N/A</v>
      </c>
      <c r="D178" t="e">
        <f>VLOOKUP(B178,'Life expectancy index'!B176:C383,2,0)</f>
        <v>#N/A</v>
      </c>
      <c r="E178" t="e">
        <f>VLOOKUP(A178,'Internet users, total (% of pop'!B176:C387,2,0)</f>
        <v>#N/A</v>
      </c>
      <c r="F178" t="e">
        <f>VLOOKUP(B178,'Income Index'!B176:C383,2,0)</f>
        <v>#N/A</v>
      </c>
      <c r="G178" t="e">
        <f>VLOOKUP(A178,'Human Development Index (HDI)	'!B176:C381,2,0)</f>
        <v>#N/A</v>
      </c>
      <c r="H178" t="e">
        <f>VLOOKUP(B178,'Government expenditure on educa'!B176:C384,2,0)</f>
        <v>#N/A</v>
      </c>
      <c r="I178" t="e">
        <f>VLOOKUP(B178,'GDP per capita (2017 PPP $)'!B176:C384,2,0)</f>
        <v>#N/A</v>
      </c>
      <c r="J178" t="e">
        <f>VLOOKUP(B178,'Forest area (% of total land ar'!B176:C386,2,0)</f>
        <v>#N/A</v>
      </c>
      <c r="L178" t="s">
        <v>22</v>
      </c>
      <c r="M178">
        <v>4348</v>
      </c>
      <c r="N178">
        <v>12905.52</v>
      </c>
      <c r="O178">
        <v>16</v>
      </c>
      <c r="P178">
        <v>47.49</v>
      </c>
      <c r="Q178">
        <v>0</v>
      </c>
      <c r="R178">
        <v>94</v>
      </c>
      <c r="S178">
        <v>279.01</v>
      </c>
      <c r="T178">
        <v>0</v>
      </c>
      <c r="U178">
        <v>0</v>
      </c>
      <c r="V178">
        <v>0</v>
      </c>
      <c r="W178" t="s">
        <v>19</v>
      </c>
    </row>
    <row r="179" spans="1:23" x14ac:dyDescent="0.35">
      <c r="A179" t="s">
        <v>200</v>
      </c>
      <c r="B179" t="str">
        <f t="shared" si="2"/>
        <v>Liberia</v>
      </c>
      <c r="C179" t="e">
        <f>VLOOKUP(B179,'Literacy Rate'!B177:C384,2,0)</f>
        <v>#N/A</v>
      </c>
      <c r="D179" t="e">
        <f>VLOOKUP(B179,'Life expectancy index'!B177:C384,2,0)</f>
        <v>#N/A</v>
      </c>
      <c r="E179" t="e">
        <f>VLOOKUP(A179,'Internet users, total (% of pop'!B177:C388,2,0)</f>
        <v>#N/A</v>
      </c>
      <c r="F179" t="e">
        <f>VLOOKUP(B179,'Income Index'!B177:C384,2,0)</f>
        <v>#N/A</v>
      </c>
      <c r="G179" t="e">
        <f>VLOOKUP(A179,'Human Development Index (HDI)	'!B177:C382,2,0)</f>
        <v>#N/A</v>
      </c>
      <c r="H179" t="e">
        <f>VLOOKUP(B179,'Government expenditure on educa'!B177:C385,2,0)</f>
        <v>#N/A</v>
      </c>
      <c r="I179" t="e">
        <f>VLOOKUP(B179,'GDP per capita (2017 PPP $)'!B177:C385,2,0)</f>
        <v>#N/A</v>
      </c>
      <c r="J179" t="e">
        <f>VLOOKUP(B179,'Forest area (% of total land ar'!B177:C387,2,0)</f>
        <v>#N/A</v>
      </c>
      <c r="L179" t="s">
        <v>39</v>
      </c>
      <c r="M179">
        <v>4304</v>
      </c>
      <c r="N179">
        <v>85.1</v>
      </c>
      <c r="O179">
        <v>1039</v>
      </c>
      <c r="P179">
        <v>20.54</v>
      </c>
      <c r="Q179">
        <v>211</v>
      </c>
      <c r="R179">
        <v>129</v>
      </c>
      <c r="S179">
        <v>2.5499999999999998</v>
      </c>
      <c r="T179">
        <v>19</v>
      </c>
      <c r="U179">
        <v>0.38</v>
      </c>
      <c r="V179">
        <v>1</v>
      </c>
      <c r="W179" t="s">
        <v>16</v>
      </c>
    </row>
    <row r="180" spans="1:23" x14ac:dyDescent="0.35">
      <c r="A180" t="s">
        <v>201</v>
      </c>
      <c r="B180" t="str">
        <f t="shared" si="2"/>
        <v>Barbados</v>
      </c>
      <c r="C180" t="e">
        <f>VLOOKUP(B180,'Literacy Rate'!B178:C385,2,0)</f>
        <v>#N/A</v>
      </c>
      <c r="D180" t="e">
        <f>VLOOKUP(B180,'Life expectancy index'!B178:C385,2,0)</f>
        <v>#N/A</v>
      </c>
      <c r="E180" t="e">
        <f>VLOOKUP(A180,'Internet users, total (% of pop'!B178:C389,2,0)</f>
        <v>#N/A</v>
      </c>
      <c r="F180" t="e">
        <f>VLOOKUP(B180,'Income Index'!B178:C385,2,0)</f>
        <v>#N/A</v>
      </c>
      <c r="G180" t="e">
        <f>VLOOKUP(A180,'Human Development Index (HDI)	'!B178:C383,2,0)</f>
        <v>#N/A</v>
      </c>
      <c r="H180" t="e">
        <f>VLOOKUP(B180,'Government expenditure on educa'!B178:C386,2,0)</f>
        <v>#N/A</v>
      </c>
      <c r="I180" t="e">
        <f>VLOOKUP(B180,'GDP per capita (2017 PPP $)'!B178:C386,2,0)</f>
        <v>#N/A</v>
      </c>
      <c r="J180" t="e">
        <f>VLOOKUP(B180,'Forest area (% of total land ar'!B178:C388,2,0)</f>
        <v>#N/A</v>
      </c>
      <c r="L180" t="s">
        <v>15</v>
      </c>
      <c r="M180">
        <v>4082</v>
      </c>
      <c r="N180">
        <v>1420.44</v>
      </c>
      <c r="O180">
        <v>30</v>
      </c>
      <c r="P180">
        <v>10.44</v>
      </c>
      <c r="Q180">
        <v>1</v>
      </c>
      <c r="R180">
        <v>47</v>
      </c>
      <c r="S180">
        <v>16.350000000000001</v>
      </c>
      <c r="T180">
        <v>0</v>
      </c>
      <c r="U180">
        <v>0</v>
      </c>
      <c r="V180">
        <v>0</v>
      </c>
      <c r="W180" t="s">
        <v>16</v>
      </c>
    </row>
    <row r="181" spans="1:23" x14ac:dyDescent="0.35">
      <c r="A181" t="s">
        <v>202</v>
      </c>
      <c r="B181" t="str">
        <f t="shared" si="2"/>
        <v>Comoros</v>
      </c>
      <c r="C181" t="e">
        <f>VLOOKUP(B181,'Literacy Rate'!B179:C386,2,0)</f>
        <v>#N/A</v>
      </c>
      <c r="D181" t="e">
        <f>VLOOKUP(B181,'Life expectancy index'!B179:C386,2,0)</f>
        <v>#N/A</v>
      </c>
      <c r="E181" t="e">
        <f>VLOOKUP(A181,'Internet users, total (% of pop'!B179:C390,2,0)</f>
        <v>#N/A</v>
      </c>
      <c r="F181" t="e">
        <f>VLOOKUP(B181,'Income Index'!B179:C386,2,0)</f>
        <v>#N/A</v>
      </c>
      <c r="G181" t="e">
        <f>VLOOKUP(A181,'Human Development Index (HDI)	'!B179:C384,2,0)</f>
        <v>#N/A</v>
      </c>
      <c r="H181" t="e">
        <f>VLOOKUP(B181,'Government expenditure on educa'!B179:C387,2,0)</f>
        <v>#N/A</v>
      </c>
      <c r="I181" t="e">
        <f>VLOOKUP(B181,'GDP per capita (2017 PPP $)'!B179:C387,2,0)</f>
        <v>#N/A</v>
      </c>
      <c r="J181" t="e">
        <f>VLOOKUP(B181,'Forest area (% of total land ar'!B179:C389,2,0)</f>
        <v>#N/A</v>
      </c>
      <c r="L181" t="s">
        <v>39</v>
      </c>
      <c r="M181">
        <v>4013</v>
      </c>
      <c r="N181">
        <v>461.48</v>
      </c>
      <c r="O181">
        <v>27</v>
      </c>
      <c r="P181">
        <v>3.1</v>
      </c>
      <c r="Q181">
        <v>0</v>
      </c>
      <c r="R181">
        <v>146</v>
      </c>
      <c r="S181">
        <v>16.79</v>
      </c>
      <c r="T181">
        <v>0</v>
      </c>
      <c r="U181">
        <v>0</v>
      </c>
      <c r="V181">
        <v>0</v>
      </c>
      <c r="W181" t="s">
        <v>16</v>
      </c>
    </row>
    <row r="182" spans="1:23" x14ac:dyDescent="0.35">
      <c r="A182" t="s">
        <v>203</v>
      </c>
      <c r="B182" t="str">
        <f t="shared" si="2"/>
        <v>United States Virgin Islands</v>
      </c>
      <c r="C182" t="e">
        <f>VLOOKUP(B182,'Literacy Rate'!B180:C387,2,0)</f>
        <v>#N/A</v>
      </c>
      <c r="D182" t="e">
        <f>VLOOKUP(B182,'Life expectancy index'!B180:C387,2,0)</f>
        <v>#N/A</v>
      </c>
      <c r="E182" t="e">
        <f>VLOOKUP(A182,'Internet users, total (% of pop'!B180:C391,2,0)</f>
        <v>#N/A</v>
      </c>
      <c r="F182" t="e">
        <f>VLOOKUP(B182,'Income Index'!B180:C387,2,0)</f>
        <v>#N/A</v>
      </c>
      <c r="G182" t="e">
        <f>VLOOKUP(A182,'Human Development Index (HDI)	'!B180:C385,2,0)</f>
        <v>#N/A</v>
      </c>
      <c r="H182" t="e">
        <f>VLOOKUP(B182,'Government expenditure on educa'!B180:C388,2,0)</f>
        <v>#N/A</v>
      </c>
      <c r="I182" t="e">
        <f>VLOOKUP(B182,'GDP per capita (2017 PPP $)'!B180:C388,2,0)</f>
        <v>#N/A</v>
      </c>
      <c r="J182" t="e">
        <f>VLOOKUP(B182,'Forest area (% of total land ar'!B180:C390,2,0)</f>
        <v>#N/A</v>
      </c>
      <c r="L182" t="s">
        <v>15</v>
      </c>
      <c r="M182">
        <v>3879</v>
      </c>
      <c r="N182">
        <v>3714.63</v>
      </c>
      <c r="O182">
        <v>60</v>
      </c>
      <c r="P182">
        <v>57.46</v>
      </c>
      <c r="Q182">
        <v>21</v>
      </c>
      <c r="R182">
        <v>30</v>
      </c>
      <c r="S182">
        <v>28.73</v>
      </c>
      <c r="T182">
        <v>0</v>
      </c>
      <c r="U182">
        <v>0</v>
      </c>
      <c r="V182">
        <v>0</v>
      </c>
      <c r="W182" t="s">
        <v>16</v>
      </c>
    </row>
    <row r="183" spans="1:23" x14ac:dyDescent="0.35">
      <c r="A183" t="s">
        <v>204</v>
      </c>
      <c r="B183" t="str">
        <f t="shared" si="2"/>
        <v>Guinea-Bissau</v>
      </c>
      <c r="C183" t="e">
        <f>VLOOKUP(B183,'Literacy Rate'!B181:C388,2,0)</f>
        <v>#N/A</v>
      </c>
      <c r="D183" t="e">
        <f>VLOOKUP(B183,'Life expectancy index'!B181:C388,2,0)</f>
        <v>#N/A</v>
      </c>
      <c r="E183" t="e">
        <f>VLOOKUP(A183,'Internet users, total (% of pop'!B181:C392,2,0)</f>
        <v>#N/A</v>
      </c>
      <c r="F183" t="e">
        <f>VLOOKUP(B183,'Income Index'!B181:C388,2,0)</f>
        <v>#N/A</v>
      </c>
      <c r="G183" t="e">
        <f>VLOOKUP(A183,'Human Development Index (HDI)	'!B181:C386,2,0)</f>
        <v>#N/A</v>
      </c>
      <c r="H183" t="e">
        <f>VLOOKUP(B183,'Government expenditure on educa'!B181:C389,2,0)</f>
        <v>#N/A</v>
      </c>
      <c r="I183" t="e">
        <f>VLOOKUP(B183,'GDP per capita (2017 PPP $)'!B181:C389,2,0)</f>
        <v>#N/A</v>
      </c>
      <c r="J183" t="e">
        <f>VLOOKUP(B183,'Forest area (% of total land ar'!B181:C391,2,0)</f>
        <v>#N/A</v>
      </c>
      <c r="L183" t="s">
        <v>39</v>
      </c>
      <c r="M183">
        <v>3869</v>
      </c>
      <c r="N183">
        <v>196.6</v>
      </c>
      <c r="O183">
        <v>25</v>
      </c>
      <c r="P183">
        <v>1.27</v>
      </c>
      <c r="Q183">
        <v>10</v>
      </c>
      <c r="R183">
        <v>69</v>
      </c>
      <c r="S183">
        <v>3.51</v>
      </c>
      <c r="T183">
        <v>0</v>
      </c>
      <c r="U183">
        <v>0</v>
      </c>
      <c r="V183">
        <v>0</v>
      </c>
      <c r="W183" t="s">
        <v>16</v>
      </c>
    </row>
    <row r="184" spans="1:23" x14ac:dyDescent="0.35">
      <c r="A184" t="s">
        <v>205</v>
      </c>
      <c r="B184" t="str">
        <f t="shared" si="2"/>
        <v>Jersey</v>
      </c>
      <c r="C184" t="e">
        <f>VLOOKUP(B184,'Literacy Rate'!B182:C389,2,0)</f>
        <v>#N/A</v>
      </c>
      <c r="D184" t="e">
        <f>VLOOKUP(B184,'Life expectancy index'!B182:C389,2,0)</f>
        <v>#N/A</v>
      </c>
      <c r="E184" t="e">
        <f>VLOOKUP(A184,'Internet users, total (% of pop'!B182:C393,2,0)</f>
        <v>#N/A</v>
      </c>
      <c r="F184" t="e">
        <f>VLOOKUP(B184,'Income Index'!B182:C389,2,0)</f>
        <v>#N/A</v>
      </c>
      <c r="G184" t="e">
        <f>VLOOKUP(A184,'Human Development Index (HDI)	'!B182:C387,2,0)</f>
        <v>#N/A</v>
      </c>
      <c r="H184" t="e">
        <f>VLOOKUP(B184,'Government expenditure on educa'!B182:C390,2,0)</f>
        <v>#N/A</v>
      </c>
      <c r="I184" t="e">
        <f>VLOOKUP(B184,'GDP per capita (2017 PPP $)'!B182:C390,2,0)</f>
        <v>#N/A</v>
      </c>
      <c r="J184" t="e">
        <f>VLOOKUP(B184,'Forest area (% of total land ar'!B182:C392,2,0)</f>
        <v>#N/A</v>
      </c>
      <c r="L184" t="s">
        <v>22</v>
      </c>
      <c r="M184">
        <v>3545</v>
      </c>
      <c r="N184">
        <v>3288.62</v>
      </c>
      <c r="O184">
        <v>206</v>
      </c>
      <c r="P184">
        <v>191.1</v>
      </c>
      <c r="Q184">
        <v>60</v>
      </c>
      <c r="R184">
        <v>69</v>
      </c>
      <c r="S184">
        <v>64.010000000000005</v>
      </c>
      <c r="T184">
        <v>0</v>
      </c>
      <c r="U184">
        <v>0</v>
      </c>
      <c r="V184">
        <v>0</v>
      </c>
      <c r="W184" t="s">
        <v>16</v>
      </c>
    </row>
    <row r="185" spans="1:23" x14ac:dyDescent="0.35">
      <c r="A185" t="s">
        <v>206</v>
      </c>
      <c r="B185" t="str">
        <f t="shared" si="2"/>
        <v>Liechtenstein</v>
      </c>
      <c r="C185" t="e">
        <f>VLOOKUP(B185,'Literacy Rate'!B183:C390,2,0)</f>
        <v>#N/A</v>
      </c>
      <c r="D185" t="e">
        <f>VLOOKUP(B185,'Life expectancy index'!B183:C390,2,0)</f>
        <v>#N/A</v>
      </c>
      <c r="E185" t="e">
        <f>VLOOKUP(A185,'Internet users, total (% of pop'!B183:C394,2,0)</f>
        <v>#N/A</v>
      </c>
      <c r="F185" t="e">
        <f>VLOOKUP(B185,'Income Index'!B183:C390,2,0)</f>
        <v>#N/A</v>
      </c>
      <c r="G185" t="e">
        <f>VLOOKUP(A185,'Human Development Index (HDI)	'!B183:C388,2,0)</f>
        <v>#N/A</v>
      </c>
      <c r="H185" t="e">
        <f>VLOOKUP(B185,'Government expenditure on educa'!B183:C391,2,0)</f>
        <v>#N/A</v>
      </c>
      <c r="I185" t="str">
        <f>VLOOKUP(B185,'GDP per capita (2017 PPP $)'!B183:C391,2,0)</f>
        <v>..</v>
      </c>
      <c r="J185" t="e">
        <f>VLOOKUP(B185,'Forest area (% of total land ar'!B183:C393,2,0)</f>
        <v>#N/A</v>
      </c>
      <c r="L185" t="s">
        <v>22</v>
      </c>
      <c r="M185">
        <v>3132</v>
      </c>
      <c r="N185">
        <v>8083.21</v>
      </c>
      <c r="O185">
        <v>7</v>
      </c>
      <c r="P185">
        <v>18.07</v>
      </c>
      <c r="Q185">
        <v>0</v>
      </c>
      <c r="R185">
        <v>58</v>
      </c>
      <c r="S185">
        <v>149.69</v>
      </c>
      <c r="T185">
        <v>0</v>
      </c>
      <c r="U185">
        <v>0</v>
      </c>
      <c r="V185">
        <v>0</v>
      </c>
      <c r="W185" t="s">
        <v>109</v>
      </c>
    </row>
    <row r="186" spans="1:23" x14ac:dyDescent="0.35">
      <c r="A186" t="s">
        <v>207</v>
      </c>
      <c r="B186" t="str">
        <f t="shared" si="2"/>
        <v>Sint Maarten</v>
      </c>
      <c r="C186" t="e">
        <f>VLOOKUP(B186,'Literacy Rate'!B184:C391,2,0)</f>
        <v>#N/A</v>
      </c>
      <c r="D186" t="e">
        <f>VLOOKUP(B186,'Life expectancy index'!B184:C391,2,0)</f>
        <v>#N/A</v>
      </c>
      <c r="E186" t="e">
        <f>VLOOKUP(A186,'Internet users, total (% of pop'!B184:C395,2,0)</f>
        <v>#N/A</v>
      </c>
      <c r="F186" t="e">
        <f>VLOOKUP(B186,'Income Index'!B184:C391,2,0)</f>
        <v>#N/A</v>
      </c>
      <c r="G186" t="e">
        <f>VLOOKUP(A186,'Human Development Index (HDI)	'!B184:C389,2,0)</f>
        <v>#N/A</v>
      </c>
      <c r="H186" t="e">
        <f>VLOOKUP(B186,'Government expenditure on educa'!B184:C392,2,0)</f>
        <v>#N/A</v>
      </c>
      <c r="I186" t="e">
        <f>VLOOKUP(B186,'GDP per capita (2017 PPP $)'!B184:C392,2,0)</f>
        <v>#N/A</v>
      </c>
      <c r="J186" t="e">
        <f>VLOOKUP(B186,'Forest area (% of total land ar'!B184:C394,2,0)</f>
        <v>#N/A</v>
      </c>
      <c r="L186" t="s">
        <v>15</v>
      </c>
      <c r="M186">
        <v>2618</v>
      </c>
      <c r="N186">
        <v>6105.13</v>
      </c>
      <c r="O186">
        <v>33</v>
      </c>
      <c r="P186">
        <v>76.959999999999994</v>
      </c>
      <c r="Q186">
        <v>4</v>
      </c>
      <c r="R186">
        <v>33</v>
      </c>
      <c r="S186">
        <v>76.959999999999994</v>
      </c>
      <c r="T186">
        <v>1</v>
      </c>
      <c r="U186">
        <v>2.33</v>
      </c>
      <c r="V186">
        <v>0</v>
      </c>
      <c r="W186" t="s">
        <v>16</v>
      </c>
    </row>
    <row r="187" spans="1:23" x14ac:dyDescent="0.35">
      <c r="A187" t="s">
        <v>208</v>
      </c>
      <c r="B187" t="str">
        <f t="shared" si="2"/>
        <v>Monaco</v>
      </c>
      <c r="C187" t="e">
        <f>VLOOKUP(B187,'Literacy Rate'!B185:C392,2,0)</f>
        <v>#N/A</v>
      </c>
      <c r="D187" t="e">
        <f>VLOOKUP(B187,'Life expectancy index'!B185:C392,2,0)</f>
        <v>#N/A</v>
      </c>
      <c r="E187" t="e">
        <f>VLOOKUP(A187,'Internet users, total (% of pop'!B185:C396,2,0)</f>
        <v>#N/A</v>
      </c>
      <c r="F187" t="e">
        <f>VLOOKUP(B187,'Income Index'!B185:C392,2,0)</f>
        <v>#N/A</v>
      </c>
      <c r="G187" t="e">
        <f>VLOOKUP(A187,'Human Development Index (HDI)	'!B185:C390,2,0)</f>
        <v>#N/A</v>
      </c>
      <c r="H187" t="e">
        <f>VLOOKUP(B187,'Government expenditure on educa'!B185:C393,2,0)</f>
        <v>#N/A</v>
      </c>
      <c r="I187" t="e">
        <f>VLOOKUP(B187,'GDP per capita (2017 PPP $)'!B185:C393,2,0)</f>
        <v>#N/A</v>
      </c>
      <c r="J187" t="e">
        <f>VLOOKUP(B187,'Forest area (% of total land ar'!B185:C395,2,0)</f>
        <v>#N/A</v>
      </c>
      <c r="L187" t="s">
        <v>22</v>
      </c>
      <c r="M187">
        <v>2580</v>
      </c>
      <c r="N187">
        <v>6574.25</v>
      </c>
      <c r="O187">
        <v>18</v>
      </c>
      <c r="P187">
        <v>45.87</v>
      </c>
      <c r="Q187">
        <v>3</v>
      </c>
      <c r="R187">
        <v>33</v>
      </c>
      <c r="S187">
        <v>84.09</v>
      </c>
      <c r="T187">
        <v>0</v>
      </c>
      <c r="U187">
        <v>0</v>
      </c>
      <c r="V187">
        <v>0</v>
      </c>
      <c r="W187" t="s">
        <v>109</v>
      </c>
    </row>
    <row r="188" spans="1:23" x14ac:dyDescent="0.35">
      <c r="A188" t="s">
        <v>209</v>
      </c>
      <c r="B188" t="str">
        <f t="shared" si="2"/>
        <v>Bermuda</v>
      </c>
      <c r="C188" t="e">
        <f>VLOOKUP(B188,'Literacy Rate'!B186:C393,2,0)</f>
        <v>#N/A</v>
      </c>
      <c r="D188" t="e">
        <f>VLOOKUP(B188,'Life expectancy index'!B186:C393,2,0)</f>
        <v>#N/A</v>
      </c>
      <c r="E188" t="e">
        <f>VLOOKUP(A188,'Internet users, total (% of pop'!B186:C397,2,0)</f>
        <v>#N/A</v>
      </c>
      <c r="F188" t="e">
        <f>VLOOKUP(B188,'Income Index'!B186:C393,2,0)</f>
        <v>#N/A</v>
      </c>
      <c r="G188" t="e">
        <f>VLOOKUP(A188,'Human Development Index (HDI)	'!B186:C391,2,0)</f>
        <v>#N/A</v>
      </c>
      <c r="H188" t="e">
        <f>VLOOKUP(B188,'Government expenditure on educa'!B186:C394,2,0)</f>
        <v>#N/A</v>
      </c>
      <c r="I188" t="e">
        <f>VLOOKUP(B188,'GDP per capita (2017 PPP $)'!B186:C394,2,0)</f>
        <v>#N/A</v>
      </c>
      <c r="J188" t="e">
        <f>VLOOKUP(B188,'Forest area (% of total land ar'!B186:C396,2,0)</f>
        <v>#N/A</v>
      </c>
      <c r="L188" t="s">
        <v>15</v>
      </c>
      <c r="M188">
        <v>2514</v>
      </c>
      <c r="N188">
        <v>4037.06</v>
      </c>
      <c r="O188">
        <v>10</v>
      </c>
      <c r="P188">
        <v>16.059999999999999</v>
      </c>
      <c r="Q188">
        <v>0</v>
      </c>
      <c r="R188">
        <v>33</v>
      </c>
      <c r="S188">
        <v>52.99</v>
      </c>
      <c r="T188">
        <v>0</v>
      </c>
      <c r="U188">
        <v>0</v>
      </c>
      <c r="V188">
        <v>0</v>
      </c>
      <c r="W188" t="s">
        <v>109</v>
      </c>
    </row>
    <row r="189" spans="1:23" x14ac:dyDescent="0.35">
      <c r="A189" t="s">
        <v>210</v>
      </c>
      <c r="B189" t="str">
        <f t="shared" si="2"/>
        <v>Turks and Caicos Islands</v>
      </c>
      <c r="C189" t="e">
        <f>VLOOKUP(B189,'Literacy Rate'!B187:C394,2,0)</f>
        <v>#N/A</v>
      </c>
      <c r="D189" t="e">
        <f>VLOOKUP(B189,'Life expectancy index'!B187:C394,2,0)</f>
        <v>#N/A</v>
      </c>
      <c r="E189" t="e">
        <f>VLOOKUP(A189,'Internet users, total (% of pop'!B187:C398,2,0)</f>
        <v>#N/A</v>
      </c>
      <c r="F189" t="e">
        <f>VLOOKUP(B189,'Income Index'!B187:C394,2,0)</f>
        <v>#N/A</v>
      </c>
      <c r="G189" t="e">
        <f>VLOOKUP(A189,'Human Development Index (HDI)	'!B187:C392,2,0)</f>
        <v>#N/A</v>
      </c>
      <c r="H189" t="e">
        <f>VLOOKUP(B189,'Government expenditure on educa'!B187:C395,2,0)</f>
        <v>#N/A</v>
      </c>
      <c r="I189" t="e">
        <f>VLOOKUP(B189,'GDP per capita (2017 PPP $)'!B187:C395,2,0)</f>
        <v>#N/A</v>
      </c>
      <c r="J189" t="e">
        <f>VLOOKUP(B189,'Forest area (% of total land ar'!B187:C397,2,0)</f>
        <v>#N/A</v>
      </c>
      <c r="L189" t="s">
        <v>15</v>
      </c>
      <c r="M189">
        <v>2425</v>
      </c>
      <c r="N189">
        <v>6263.24</v>
      </c>
      <c r="O189">
        <v>1</v>
      </c>
      <c r="P189">
        <v>2.58</v>
      </c>
      <c r="Q189">
        <v>0</v>
      </c>
      <c r="R189">
        <v>18</v>
      </c>
      <c r="S189">
        <v>46.49</v>
      </c>
      <c r="T189">
        <v>0</v>
      </c>
      <c r="U189">
        <v>0</v>
      </c>
      <c r="V189">
        <v>0</v>
      </c>
      <c r="W189" t="s">
        <v>19</v>
      </c>
    </row>
    <row r="190" spans="1:23" x14ac:dyDescent="0.35">
      <c r="A190" t="s">
        <v>211</v>
      </c>
      <c r="B190" t="str">
        <f t="shared" si="2"/>
        <v>New Zealand</v>
      </c>
      <c r="C190" t="e">
        <f>VLOOKUP(B190,'Literacy Rate'!B188:C395,2,0)</f>
        <v>#N/A</v>
      </c>
      <c r="D190" t="e">
        <f>VLOOKUP(B190,'Life expectancy index'!B188:C395,2,0)</f>
        <v>#N/A</v>
      </c>
      <c r="E190" t="e">
        <f>VLOOKUP(A190,'Internet users, total (% of pop'!B188:C399,2,0)</f>
        <v>#N/A</v>
      </c>
      <c r="F190" t="e">
        <f>VLOOKUP(B190,'Income Index'!B188:C395,2,0)</f>
        <v>#N/A</v>
      </c>
      <c r="G190" t="e">
        <f>VLOOKUP(A190,'Human Development Index (HDI)	'!B188:C393,2,0)</f>
        <v>#N/A</v>
      </c>
      <c r="H190" t="e">
        <f>VLOOKUP(B190,'Government expenditure on educa'!B188:C396,2,0)</f>
        <v>#N/A</v>
      </c>
      <c r="I190" t="e">
        <f>VLOOKUP(B190,'GDP per capita (2017 PPP $)'!B188:C396,2,0)</f>
        <v>#N/A</v>
      </c>
      <c r="J190" t="e">
        <f>VLOOKUP(B190,'Forest area (% of total land ar'!B188:C398,2,0)</f>
        <v>#N/A</v>
      </c>
      <c r="L190" t="s">
        <v>44</v>
      </c>
      <c r="M190">
        <v>2386</v>
      </c>
      <c r="N190">
        <v>49.48</v>
      </c>
      <c r="O190">
        <v>17</v>
      </c>
      <c r="P190">
        <v>0.35</v>
      </c>
      <c r="Q190">
        <v>3</v>
      </c>
      <c r="R190">
        <v>26</v>
      </c>
      <c r="S190">
        <v>0.54</v>
      </c>
      <c r="T190">
        <v>0</v>
      </c>
      <c r="U190">
        <v>0</v>
      </c>
      <c r="V190">
        <v>0</v>
      </c>
      <c r="W190" t="s">
        <v>109</v>
      </c>
    </row>
    <row r="191" spans="1:23" x14ac:dyDescent="0.35">
      <c r="A191" t="s">
        <v>212</v>
      </c>
      <c r="B191" t="str">
        <f t="shared" si="2"/>
        <v>Sao Tome and Principe</v>
      </c>
      <c r="C191" t="e">
        <f>VLOOKUP(B191,'Literacy Rate'!B189:C396,2,0)</f>
        <v>#N/A</v>
      </c>
      <c r="D191" t="e">
        <f>VLOOKUP(B191,'Life expectancy index'!B189:C396,2,0)</f>
        <v>#N/A</v>
      </c>
      <c r="E191" t="e">
        <f>VLOOKUP(A191,'Internet users, total (% of pop'!B189:C400,2,0)</f>
        <v>#N/A</v>
      </c>
      <c r="F191" t="e">
        <f>VLOOKUP(B191,'Income Index'!B189:C396,2,0)</f>
        <v>#N/A</v>
      </c>
      <c r="G191" t="e">
        <f>VLOOKUP(A191,'Human Development Index (HDI)	'!B189:C394,2,0)</f>
        <v>#N/A</v>
      </c>
      <c r="H191" t="e">
        <f>VLOOKUP(B191,'Government expenditure on educa'!B189:C397,2,0)</f>
        <v>#N/A</v>
      </c>
      <c r="I191" t="e">
        <f>VLOOKUP(B191,'GDP per capita (2017 PPP $)'!B189:C397,2,0)</f>
        <v>#N/A</v>
      </c>
      <c r="J191" t="e">
        <f>VLOOKUP(B191,'Forest area (% of total land ar'!B189:C399,2,0)</f>
        <v>#N/A</v>
      </c>
      <c r="L191" t="s">
        <v>39</v>
      </c>
      <c r="M191">
        <v>2369</v>
      </c>
      <c r="N191">
        <v>1080.95</v>
      </c>
      <c r="O191">
        <v>5</v>
      </c>
      <c r="P191">
        <v>2.2799999999999998</v>
      </c>
      <c r="Q191">
        <v>3</v>
      </c>
      <c r="R191">
        <v>37</v>
      </c>
      <c r="S191">
        <v>16.88</v>
      </c>
      <c r="T191">
        <v>0</v>
      </c>
      <c r="U191">
        <v>0</v>
      </c>
      <c r="V191">
        <v>0</v>
      </c>
      <c r="W191" t="s">
        <v>16</v>
      </c>
    </row>
    <row r="192" spans="1:23" x14ac:dyDescent="0.35">
      <c r="A192" t="s">
        <v>213</v>
      </c>
      <c r="B192" t="str">
        <f t="shared" si="2"/>
        <v>Saint Martin</v>
      </c>
      <c r="C192" t="e">
        <f>VLOOKUP(B192,'Literacy Rate'!B190:C397,2,0)</f>
        <v>#N/A</v>
      </c>
      <c r="D192" t="e">
        <f>VLOOKUP(B192,'Life expectancy index'!B190:C397,2,0)</f>
        <v>#N/A</v>
      </c>
      <c r="E192" t="e">
        <f>VLOOKUP(A192,'Internet users, total (% of pop'!B190:C401,2,0)</f>
        <v>#N/A</v>
      </c>
      <c r="F192" t="e">
        <f>VLOOKUP(B192,'Income Index'!B190:C397,2,0)</f>
        <v>#N/A</v>
      </c>
      <c r="G192" t="e">
        <f>VLOOKUP(A192,'Human Development Index (HDI)	'!B190:C395,2,0)</f>
        <v>#N/A</v>
      </c>
      <c r="H192" t="e">
        <f>VLOOKUP(B192,'Government expenditure on educa'!B190:C398,2,0)</f>
        <v>#N/A</v>
      </c>
      <c r="I192" t="e">
        <f>VLOOKUP(B192,'GDP per capita (2017 PPP $)'!B190:C398,2,0)</f>
        <v>#N/A</v>
      </c>
      <c r="J192" t="e">
        <f>VLOOKUP(B192,'Forest area (% of total land ar'!B190:C400,2,0)</f>
        <v>#N/A</v>
      </c>
      <c r="L192" t="s">
        <v>15</v>
      </c>
      <c r="M192">
        <v>2367</v>
      </c>
      <c r="N192">
        <v>6122.77</v>
      </c>
      <c r="O192">
        <v>53</v>
      </c>
      <c r="P192">
        <v>137.1</v>
      </c>
      <c r="Q192">
        <v>0</v>
      </c>
      <c r="R192">
        <v>27</v>
      </c>
      <c r="S192">
        <v>69.84</v>
      </c>
      <c r="T192">
        <v>1</v>
      </c>
      <c r="U192">
        <v>2.59</v>
      </c>
      <c r="V192">
        <v>0</v>
      </c>
      <c r="W192" t="s">
        <v>16</v>
      </c>
    </row>
    <row r="193" spans="1:23" x14ac:dyDescent="0.35">
      <c r="A193" t="s">
        <v>214</v>
      </c>
      <c r="B193" t="str">
        <f t="shared" si="2"/>
        <v>Saint Vincent and the Grenadines</v>
      </c>
      <c r="C193" t="e">
        <f>VLOOKUP(B193,'Literacy Rate'!B191:C398,2,0)</f>
        <v>#N/A</v>
      </c>
      <c r="D193" t="e">
        <f>VLOOKUP(B193,'Life expectancy index'!B191:C398,2,0)</f>
        <v>#N/A</v>
      </c>
      <c r="E193" t="e">
        <f>VLOOKUP(A193,'Internet users, total (% of pop'!B191:C402,2,0)</f>
        <v>#N/A</v>
      </c>
      <c r="F193" t="e">
        <f>VLOOKUP(B193,'Income Index'!B191:C398,2,0)</f>
        <v>#N/A</v>
      </c>
      <c r="G193" t="e">
        <f>VLOOKUP(A193,'Human Development Index (HDI)	'!B191:C396,2,0)</f>
        <v>#N/A</v>
      </c>
      <c r="H193" t="e">
        <f>VLOOKUP(B193,'Government expenditure on educa'!B191:C399,2,0)</f>
        <v>#N/A</v>
      </c>
      <c r="I193" t="e">
        <f>VLOOKUP(B193,'GDP per capita (2017 PPP $)'!B191:C399,2,0)</f>
        <v>#N/A</v>
      </c>
      <c r="J193" t="e">
        <f>VLOOKUP(B193,'Forest area (% of total land ar'!B191:C401,2,0)</f>
        <v>#N/A</v>
      </c>
      <c r="L193" t="s">
        <v>15</v>
      </c>
      <c r="M193">
        <v>2227</v>
      </c>
      <c r="N193">
        <v>2007.39</v>
      </c>
      <c r="O193">
        <v>20</v>
      </c>
      <c r="P193">
        <v>18.03</v>
      </c>
      <c r="Q193">
        <v>2</v>
      </c>
      <c r="R193">
        <v>12</v>
      </c>
      <c r="S193">
        <v>10.82</v>
      </c>
      <c r="T193">
        <v>0</v>
      </c>
      <c r="U193">
        <v>0</v>
      </c>
      <c r="V193">
        <v>0</v>
      </c>
      <c r="W193" t="s">
        <v>16</v>
      </c>
    </row>
    <row r="194" spans="1:23" x14ac:dyDescent="0.35">
      <c r="A194" t="s">
        <v>215</v>
      </c>
      <c r="B194" t="str">
        <f t="shared" si="2"/>
        <v>Lao People's Democratic Republic</v>
      </c>
      <c r="C194" t="e">
        <f>VLOOKUP(B194,'Literacy Rate'!B192:C399,2,0)</f>
        <v>#N/A</v>
      </c>
      <c r="D194" t="e">
        <f>VLOOKUP(B194,'Life expectancy index'!B192:C399,2,0)</f>
        <v>#N/A</v>
      </c>
      <c r="E194" t="e">
        <f>VLOOKUP(A194,'Internet users, total (% of pop'!B192:C403,2,0)</f>
        <v>#N/A</v>
      </c>
      <c r="F194" t="e">
        <f>VLOOKUP(B194,'Income Index'!B192:C399,2,0)</f>
        <v>#N/A</v>
      </c>
      <c r="G194" t="e">
        <f>VLOOKUP(A194,'Human Development Index (HDI)	'!B192:C397,2,0)</f>
        <v>#N/A</v>
      </c>
      <c r="H194" t="e">
        <f>VLOOKUP(B194,'Government expenditure on educa'!B192:C400,2,0)</f>
        <v>#N/A</v>
      </c>
      <c r="I194" t="e">
        <f>VLOOKUP(B194,'GDP per capita (2017 PPP $)'!B192:C400,2,0)</f>
        <v>#N/A</v>
      </c>
      <c r="J194" t="e">
        <f>VLOOKUP(B194,'Forest area (% of total land ar'!B192:C402,2,0)</f>
        <v>#N/A</v>
      </c>
      <c r="L194" t="s">
        <v>44</v>
      </c>
      <c r="M194">
        <v>2144</v>
      </c>
      <c r="N194">
        <v>29.47</v>
      </c>
      <c r="O194">
        <v>64</v>
      </c>
      <c r="P194">
        <v>0.88</v>
      </c>
      <c r="Q194">
        <v>23</v>
      </c>
      <c r="R194">
        <v>3</v>
      </c>
      <c r="S194">
        <v>0.04</v>
      </c>
      <c r="T194">
        <v>0</v>
      </c>
      <c r="U194">
        <v>0</v>
      </c>
      <c r="V194">
        <v>0</v>
      </c>
      <c r="W194" t="s">
        <v>109</v>
      </c>
    </row>
    <row r="195" spans="1:23" x14ac:dyDescent="0.35">
      <c r="A195" t="s">
        <v>216</v>
      </c>
      <c r="B195" t="str">
        <f t="shared" si="2"/>
        <v>Bhutan</v>
      </c>
      <c r="C195" t="e">
        <f>VLOOKUP(B195,'Literacy Rate'!B193:C400,2,0)</f>
        <v>#N/A</v>
      </c>
      <c r="D195" t="e">
        <f>VLOOKUP(B195,'Life expectancy index'!B193:C400,2,0)</f>
        <v>#N/A</v>
      </c>
      <c r="E195" t="e">
        <f>VLOOKUP(A195,'Internet users, total (% of pop'!B193:C404,2,0)</f>
        <v>#N/A</v>
      </c>
      <c r="F195" t="e">
        <f>VLOOKUP(B195,'Income Index'!B193:C400,2,0)</f>
        <v>#N/A</v>
      </c>
      <c r="G195" t="e">
        <f>VLOOKUP(A195,'Human Development Index (HDI)	'!B193:C398,2,0)</f>
        <v>#N/A</v>
      </c>
      <c r="H195" t="e">
        <f>VLOOKUP(B195,'Government expenditure on educa'!B193:C401,2,0)</f>
        <v>#N/A</v>
      </c>
      <c r="I195" t="e">
        <f>VLOOKUP(B195,'GDP per capita (2017 PPP $)'!B193:C401,2,0)</f>
        <v>#N/A</v>
      </c>
      <c r="J195" t="e">
        <f>VLOOKUP(B195,'Forest area (% of total land ar'!B193:C403,2,0)</f>
        <v>#N/A</v>
      </c>
      <c r="L195" t="s">
        <v>18</v>
      </c>
      <c r="M195">
        <v>2122</v>
      </c>
      <c r="N195">
        <v>275.01</v>
      </c>
      <c r="O195">
        <v>109</v>
      </c>
      <c r="P195">
        <v>14.13</v>
      </c>
      <c r="Q195">
        <v>18</v>
      </c>
      <c r="R195">
        <v>1</v>
      </c>
      <c r="S195">
        <v>0.13</v>
      </c>
      <c r="T195">
        <v>0</v>
      </c>
      <c r="U195">
        <v>0</v>
      </c>
      <c r="V195">
        <v>0</v>
      </c>
      <c r="W195" t="s">
        <v>19</v>
      </c>
    </row>
    <row r="196" spans="1:23" x14ac:dyDescent="0.35">
      <c r="A196" t="s">
        <v>217</v>
      </c>
      <c r="B196" t="str">
        <f t="shared" ref="B196:B239" si="3">TRIM(A196)</f>
        <v>Mauritius</v>
      </c>
      <c r="C196" t="e">
        <f>VLOOKUP(B196,'Literacy Rate'!B194:C401,2,0)</f>
        <v>#N/A</v>
      </c>
      <c r="D196" t="e">
        <f>VLOOKUP(B196,'Life expectancy index'!B194:C401,2,0)</f>
        <v>#N/A</v>
      </c>
      <c r="E196" t="e">
        <f>VLOOKUP(A196,'Internet users, total (% of pop'!B194:C405,2,0)</f>
        <v>#N/A</v>
      </c>
      <c r="F196" t="e">
        <f>VLOOKUP(B196,'Income Index'!B194:C401,2,0)</f>
        <v>#N/A</v>
      </c>
      <c r="G196" t="e">
        <f>VLOOKUP(A196,'Human Development Index (HDI)	'!B194:C399,2,0)</f>
        <v>#N/A</v>
      </c>
      <c r="H196" t="e">
        <f>VLOOKUP(B196,'Government expenditure on educa'!B194:C402,2,0)</f>
        <v>#N/A</v>
      </c>
      <c r="I196" t="e">
        <f>VLOOKUP(B196,'GDP per capita (2017 PPP $)'!B194:C402,2,0)</f>
        <v>#N/A</v>
      </c>
      <c r="J196" t="e">
        <f>VLOOKUP(B196,'Forest area (% of total land ar'!B194:C404,2,0)</f>
        <v>#N/A</v>
      </c>
      <c r="L196" t="s">
        <v>39</v>
      </c>
      <c r="M196">
        <v>1913</v>
      </c>
      <c r="N196">
        <v>150.41999999999999</v>
      </c>
      <c r="O196">
        <v>61</v>
      </c>
      <c r="P196">
        <v>4.8</v>
      </c>
      <c r="Q196">
        <v>15</v>
      </c>
      <c r="R196">
        <v>18</v>
      </c>
      <c r="S196">
        <v>1.42</v>
      </c>
      <c r="T196">
        <v>0</v>
      </c>
      <c r="U196">
        <v>0</v>
      </c>
      <c r="V196">
        <v>0</v>
      </c>
      <c r="W196" t="s">
        <v>19</v>
      </c>
    </row>
    <row r="197" spans="1:23" x14ac:dyDescent="0.35">
      <c r="A197" t="s">
        <v>218</v>
      </c>
      <c r="B197" t="str">
        <f t="shared" si="3"/>
        <v>Bonaire</v>
      </c>
      <c r="C197" t="e">
        <f>VLOOKUP(B197,'Literacy Rate'!B195:C402,2,0)</f>
        <v>#N/A</v>
      </c>
      <c r="D197" t="e">
        <f>VLOOKUP(B197,'Life expectancy index'!B195:C402,2,0)</f>
        <v>#N/A</v>
      </c>
      <c r="E197" t="e">
        <f>VLOOKUP(A197,'Internet users, total (% of pop'!B195:C406,2,0)</f>
        <v>#N/A</v>
      </c>
      <c r="F197" t="e">
        <f>VLOOKUP(B197,'Income Index'!B195:C402,2,0)</f>
        <v>#N/A</v>
      </c>
      <c r="G197" t="e">
        <f>VLOOKUP(A197,'Human Development Index (HDI)	'!B195:C400,2,0)</f>
        <v>#N/A</v>
      </c>
      <c r="H197" t="e">
        <f>VLOOKUP(B197,'Government expenditure on educa'!B195:C403,2,0)</f>
        <v>#N/A</v>
      </c>
      <c r="I197" t="e">
        <f>VLOOKUP(B197,'GDP per capita (2017 PPP $)'!B195:C403,2,0)</f>
        <v>#N/A</v>
      </c>
      <c r="J197" t="e">
        <f>VLOOKUP(B197,'Forest area (% of total land ar'!B195:C405,2,0)</f>
        <v>#N/A</v>
      </c>
      <c r="L197" t="s">
        <v>15</v>
      </c>
      <c r="M197">
        <v>1623</v>
      </c>
      <c r="N197">
        <v>7759.98</v>
      </c>
      <c r="O197">
        <v>14</v>
      </c>
      <c r="P197">
        <v>66.94</v>
      </c>
      <c r="Q197">
        <v>1</v>
      </c>
      <c r="R197">
        <v>17</v>
      </c>
      <c r="S197">
        <v>81.28</v>
      </c>
      <c r="T197">
        <v>0</v>
      </c>
      <c r="U197">
        <v>0</v>
      </c>
      <c r="V197">
        <v>0</v>
      </c>
      <c r="W197" t="s">
        <v>16</v>
      </c>
    </row>
    <row r="198" spans="1:23" x14ac:dyDescent="0.35">
      <c r="A198" t="s">
        <v>219</v>
      </c>
      <c r="B198" t="str">
        <f t="shared" si="3"/>
        <v>Isle of Man</v>
      </c>
      <c r="C198" t="e">
        <f>VLOOKUP(B198,'Literacy Rate'!B196:C403,2,0)</f>
        <v>#N/A</v>
      </c>
      <c r="D198" t="e">
        <f>VLOOKUP(B198,'Life expectancy index'!B196:C403,2,0)</f>
        <v>#N/A</v>
      </c>
      <c r="E198" t="e">
        <f>VLOOKUP(A198,'Internet users, total (% of pop'!B196:C407,2,0)</f>
        <v>#N/A</v>
      </c>
      <c r="F198" t="e">
        <f>VLOOKUP(B198,'Income Index'!B196:C403,2,0)</f>
        <v>#N/A</v>
      </c>
      <c r="G198" t="e">
        <f>VLOOKUP(A198,'Human Development Index (HDI)	'!B196:C401,2,0)</f>
        <v>#N/A</v>
      </c>
      <c r="H198" t="e">
        <f>VLOOKUP(B198,'Government expenditure on educa'!B196:C404,2,0)</f>
        <v>#N/A</v>
      </c>
      <c r="I198" t="e">
        <f>VLOOKUP(B198,'GDP per capita (2017 PPP $)'!B196:C404,2,0)</f>
        <v>#N/A</v>
      </c>
      <c r="J198" t="e">
        <f>VLOOKUP(B198,'Forest area (% of total land ar'!B196:C406,2,0)</f>
        <v>#N/A</v>
      </c>
      <c r="L198" t="s">
        <v>22</v>
      </c>
      <c r="M198">
        <v>1614</v>
      </c>
      <c r="N198">
        <v>1898.11</v>
      </c>
      <c r="O198">
        <v>11</v>
      </c>
      <c r="P198">
        <v>12.94</v>
      </c>
      <c r="Q198">
        <v>2</v>
      </c>
      <c r="R198">
        <v>29</v>
      </c>
      <c r="S198">
        <v>34.1</v>
      </c>
      <c r="T198">
        <v>0</v>
      </c>
      <c r="U198">
        <v>0</v>
      </c>
      <c r="V198">
        <v>0</v>
      </c>
      <c r="W198" t="s">
        <v>220</v>
      </c>
    </row>
    <row r="199" spans="1:23" x14ac:dyDescent="0.35">
      <c r="A199" t="s">
        <v>221</v>
      </c>
      <c r="B199" t="str">
        <f t="shared" si="3"/>
        <v>Antigua and Barbuda</v>
      </c>
      <c r="C199" t="e">
        <f>VLOOKUP(B199,'Literacy Rate'!B197:C404,2,0)</f>
        <v>#N/A</v>
      </c>
      <c r="D199" t="e">
        <f>VLOOKUP(B199,'Life expectancy index'!B197:C404,2,0)</f>
        <v>#N/A</v>
      </c>
      <c r="E199" t="e">
        <f>VLOOKUP(A199,'Internet users, total (% of pop'!B197:C408,2,0)</f>
        <v>#N/A</v>
      </c>
      <c r="F199" t="e">
        <f>VLOOKUP(B199,'Income Index'!B197:C404,2,0)</f>
        <v>#N/A</v>
      </c>
      <c r="G199" t="e">
        <f>VLOOKUP(A199,'Human Development Index (HDI)	'!B197:C402,2,0)</f>
        <v>#N/A</v>
      </c>
      <c r="H199" t="e">
        <f>VLOOKUP(B199,'Government expenditure on educa'!B197:C405,2,0)</f>
        <v>#N/A</v>
      </c>
      <c r="I199" t="e">
        <f>VLOOKUP(B199,'GDP per capita (2017 PPP $)'!B197:C405,2,0)</f>
        <v>#N/A</v>
      </c>
      <c r="J199" t="e">
        <f>VLOOKUP(B199,'Forest area (% of total land ar'!B197:C407,2,0)</f>
        <v>#N/A</v>
      </c>
      <c r="L199" t="s">
        <v>15</v>
      </c>
      <c r="M199">
        <v>1264</v>
      </c>
      <c r="N199">
        <v>1290.73</v>
      </c>
      <c r="O199">
        <v>1</v>
      </c>
      <c r="P199">
        <v>1.02</v>
      </c>
      <c r="Q199">
        <v>1</v>
      </c>
      <c r="R199">
        <v>42</v>
      </c>
      <c r="S199">
        <v>42.89</v>
      </c>
      <c r="T199">
        <v>0</v>
      </c>
      <c r="U199">
        <v>0</v>
      </c>
      <c r="V199">
        <v>0</v>
      </c>
      <c r="W199" t="s">
        <v>19</v>
      </c>
    </row>
    <row r="200" spans="1:23" x14ac:dyDescent="0.35">
      <c r="A200" t="s">
        <v>222</v>
      </c>
      <c r="B200" t="str">
        <f t="shared" si="3"/>
        <v>Saint Barthélemy</v>
      </c>
      <c r="C200" t="e">
        <f>VLOOKUP(B200,'Literacy Rate'!B198:C405,2,0)</f>
        <v>#N/A</v>
      </c>
      <c r="D200" t="e">
        <f>VLOOKUP(B200,'Life expectancy index'!B198:C405,2,0)</f>
        <v>#N/A</v>
      </c>
      <c r="E200" t="e">
        <f>VLOOKUP(A200,'Internet users, total (% of pop'!B198:C409,2,0)</f>
        <v>#N/A</v>
      </c>
      <c r="F200" t="e">
        <f>VLOOKUP(B200,'Income Index'!B198:C405,2,0)</f>
        <v>#N/A</v>
      </c>
      <c r="G200" t="e">
        <f>VLOOKUP(A200,'Human Development Index (HDI)	'!B198:C403,2,0)</f>
        <v>#N/A</v>
      </c>
      <c r="H200" t="e">
        <f>VLOOKUP(B200,'Government expenditure on educa'!B198:C406,2,0)</f>
        <v>#N/A</v>
      </c>
      <c r="I200" t="e">
        <f>VLOOKUP(B200,'GDP per capita (2017 PPP $)'!B198:C406,2,0)</f>
        <v>#N/A</v>
      </c>
      <c r="J200" t="e">
        <f>VLOOKUP(B200,'Forest area (% of total land ar'!B198:C408,2,0)</f>
        <v>#N/A</v>
      </c>
      <c r="L200" t="s">
        <v>15</v>
      </c>
      <c r="M200">
        <v>1043</v>
      </c>
      <c r="N200">
        <v>10551.34</v>
      </c>
      <c r="O200">
        <v>3</v>
      </c>
      <c r="P200">
        <v>30.35</v>
      </c>
      <c r="Q200">
        <v>0</v>
      </c>
      <c r="R200">
        <v>1</v>
      </c>
      <c r="S200">
        <v>10.119999999999999</v>
      </c>
      <c r="T200">
        <v>0</v>
      </c>
      <c r="U200">
        <v>0</v>
      </c>
      <c r="V200">
        <v>0</v>
      </c>
      <c r="W200" t="s">
        <v>19</v>
      </c>
    </row>
    <row r="201" spans="1:23" x14ac:dyDescent="0.35">
      <c r="A201" t="s">
        <v>223</v>
      </c>
      <c r="B201" t="str">
        <f t="shared" si="3"/>
        <v>Guernsey</v>
      </c>
      <c r="C201" t="e">
        <f>VLOOKUP(B201,'Literacy Rate'!B199:C406,2,0)</f>
        <v>#N/A</v>
      </c>
      <c r="D201" t="e">
        <f>VLOOKUP(B201,'Life expectancy index'!B199:C406,2,0)</f>
        <v>#N/A</v>
      </c>
      <c r="E201" t="e">
        <f>VLOOKUP(A201,'Internet users, total (% of pop'!B199:C410,2,0)</f>
        <v>#N/A</v>
      </c>
      <c r="F201" t="e">
        <f>VLOOKUP(B201,'Income Index'!B199:C406,2,0)</f>
        <v>#N/A</v>
      </c>
      <c r="G201" t="e">
        <f>VLOOKUP(A201,'Human Development Index (HDI)	'!B199:C404,2,0)</f>
        <v>#N/A</v>
      </c>
      <c r="H201" t="e">
        <f>VLOOKUP(B201,'Government expenditure on educa'!B199:C407,2,0)</f>
        <v>#N/A</v>
      </c>
      <c r="I201" t="e">
        <f>VLOOKUP(B201,'GDP per capita (2017 PPP $)'!B199:C407,2,0)</f>
        <v>#N/A</v>
      </c>
      <c r="J201" t="e">
        <f>VLOOKUP(B201,'Forest area (% of total land ar'!B199:C409,2,0)</f>
        <v>#N/A</v>
      </c>
      <c r="L201" t="s">
        <v>22</v>
      </c>
      <c r="M201">
        <v>838</v>
      </c>
      <c r="N201">
        <v>1299.8699999999999</v>
      </c>
      <c r="O201">
        <v>10</v>
      </c>
      <c r="P201">
        <v>15.51</v>
      </c>
      <c r="Q201">
        <v>1</v>
      </c>
      <c r="R201">
        <v>17</v>
      </c>
      <c r="S201">
        <v>26.37</v>
      </c>
      <c r="T201">
        <v>0</v>
      </c>
      <c r="U201">
        <v>0</v>
      </c>
      <c r="V201">
        <v>0</v>
      </c>
      <c r="W201" t="s">
        <v>16</v>
      </c>
    </row>
    <row r="202" spans="1:23" x14ac:dyDescent="0.35">
      <c r="A202" t="s">
        <v>224</v>
      </c>
      <c r="B202" t="str">
        <f t="shared" si="3"/>
        <v>Faroe Islands</v>
      </c>
      <c r="C202" t="e">
        <f>VLOOKUP(B202,'Literacy Rate'!B200:C407,2,0)</f>
        <v>#N/A</v>
      </c>
      <c r="D202" t="e">
        <f>VLOOKUP(B202,'Life expectancy index'!B200:C407,2,0)</f>
        <v>#N/A</v>
      </c>
      <c r="E202" t="e">
        <f>VLOOKUP(A202,'Internet users, total (% of pop'!B200:C411,2,0)</f>
        <v>#N/A</v>
      </c>
      <c r="F202" t="e">
        <f>VLOOKUP(B202,'Income Index'!B200:C407,2,0)</f>
        <v>#N/A</v>
      </c>
      <c r="G202" t="e">
        <f>VLOOKUP(A202,'Human Development Index (HDI)	'!B200:C405,2,0)</f>
        <v>#N/A</v>
      </c>
      <c r="H202" t="e">
        <f>VLOOKUP(B202,'Government expenditure on educa'!B200:C408,2,0)</f>
        <v>#N/A</v>
      </c>
      <c r="I202" t="e">
        <f>VLOOKUP(B202,'GDP per capita (2017 PPP $)'!B200:C408,2,0)</f>
        <v>#N/A</v>
      </c>
      <c r="J202" t="e">
        <f>VLOOKUP(B202,'Forest area (% of total land ar'!B200:C410,2,0)</f>
        <v>#N/A</v>
      </c>
      <c r="L202" t="s">
        <v>22</v>
      </c>
      <c r="M202">
        <v>778</v>
      </c>
      <c r="N202">
        <v>1592.14</v>
      </c>
      <c r="O202">
        <v>8</v>
      </c>
      <c r="P202">
        <v>16.37</v>
      </c>
      <c r="Q202">
        <v>2</v>
      </c>
      <c r="R202">
        <v>1</v>
      </c>
      <c r="S202">
        <v>2.0499999999999998</v>
      </c>
      <c r="T202">
        <v>0</v>
      </c>
      <c r="U202">
        <v>0</v>
      </c>
      <c r="V202">
        <v>0</v>
      </c>
      <c r="W202" t="s">
        <v>109</v>
      </c>
    </row>
    <row r="203" spans="1:23" x14ac:dyDescent="0.35">
      <c r="A203" t="s">
        <v>225</v>
      </c>
      <c r="B203" t="str">
        <f t="shared" si="3"/>
        <v>Other</v>
      </c>
      <c r="C203" t="e">
        <f>VLOOKUP(B203,'Literacy Rate'!B201:C408,2,0)</f>
        <v>#N/A</v>
      </c>
      <c r="D203" t="e">
        <f>VLOOKUP(B203,'Life expectancy index'!B201:C408,2,0)</f>
        <v>#N/A</v>
      </c>
      <c r="E203" t="e">
        <f>VLOOKUP(A203,'Internet users, total (% of pop'!B201:C412,2,0)</f>
        <v>#N/A</v>
      </c>
      <c r="F203" t="e">
        <f>VLOOKUP(B203,'Income Index'!B201:C408,2,0)</f>
        <v>#N/A</v>
      </c>
      <c r="G203" t="e">
        <f>VLOOKUP(A203,'Human Development Index (HDI)	'!B201:C406,2,0)</f>
        <v>#N/A</v>
      </c>
      <c r="H203" t="e">
        <f>VLOOKUP(B203,'Government expenditure on educa'!B201:C409,2,0)</f>
        <v>#N/A</v>
      </c>
      <c r="I203" t="e">
        <f>VLOOKUP(B203,'GDP per capita (2017 PPP $)'!B201:C409,2,0)</f>
        <v>#N/A</v>
      </c>
      <c r="J203" t="e">
        <f>VLOOKUP(B203,'Forest area (% of total land ar'!B201:C411,2,0)</f>
        <v>#N/A</v>
      </c>
      <c r="L203" t="s">
        <v>225</v>
      </c>
      <c r="M203">
        <v>764</v>
      </c>
      <c r="O203">
        <v>0</v>
      </c>
      <c r="Q203">
        <v>0</v>
      </c>
      <c r="R203">
        <v>13</v>
      </c>
      <c r="T203">
        <v>0</v>
      </c>
      <c r="V203">
        <v>0</v>
      </c>
      <c r="W203" t="s">
        <v>226</v>
      </c>
    </row>
    <row r="204" spans="1:23" x14ac:dyDescent="0.35">
      <c r="A204" t="s">
        <v>227</v>
      </c>
      <c r="B204" t="str">
        <f t="shared" si="3"/>
        <v>Cayman Islands</v>
      </c>
      <c r="C204" t="e">
        <f>VLOOKUP(B204,'Literacy Rate'!B202:C409,2,0)</f>
        <v>#N/A</v>
      </c>
      <c r="D204" t="e">
        <f>VLOOKUP(B204,'Life expectancy index'!B202:C409,2,0)</f>
        <v>#N/A</v>
      </c>
      <c r="E204" t="e">
        <f>VLOOKUP(A204,'Internet users, total (% of pop'!B202:C413,2,0)</f>
        <v>#N/A</v>
      </c>
      <c r="F204" t="e">
        <f>VLOOKUP(B204,'Income Index'!B202:C409,2,0)</f>
        <v>#N/A</v>
      </c>
      <c r="G204" t="e">
        <f>VLOOKUP(A204,'Human Development Index (HDI)	'!B202:C407,2,0)</f>
        <v>#N/A</v>
      </c>
      <c r="H204" t="e">
        <f>VLOOKUP(B204,'Government expenditure on educa'!B202:C410,2,0)</f>
        <v>#N/A</v>
      </c>
      <c r="I204" t="e">
        <f>VLOOKUP(B204,'GDP per capita (2017 PPP $)'!B202:C410,2,0)</f>
        <v>#N/A</v>
      </c>
      <c r="J204" t="e">
        <f>VLOOKUP(B204,'Forest area (% of total land ar'!B202:C412,2,0)</f>
        <v>#N/A</v>
      </c>
      <c r="L204" t="s">
        <v>15</v>
      </c>
      <c r="M204">
        <v>614</v>
      </c>
      <c r="N204">
        <v>934.27</v>
      </c>
      <c r="O204">
        <v>5</v>
      </c>
      <c r="P204">
        <v>7.61</v>
      </c>
      <c r="Q204">
        <v>0</v>
      </c>
      <c r="R204">
        <v>2</v>
      </c>
      <c r="S204">
        <v>3.04</v>
      </c>
      <c r="T204">
        <v>0</v>
      </c>
      <c r="U204">
        <v>0</v>
      </c>
      <c r="V204">
        <v>0</v>
      </c>
      <c r="W204" t="s">
        <v>109</v>
      </c>
    </row>
    <row r="205" spans="1:23" x14ac:dyDescent="0.35">
      <c r="A205" t="s">
        <v>228</v>
      </c>
      <c r="B205" t="str">
        <f t="shared" si="3"/>
        <v>United Republic of Tanzania</v>
      </c>
      <c r="C205" t="e">
        <f>VLOOKUP(B205,'Literacy Rate'!B203:C410,2,0)</f>
        <v>#N/A</v>
      </c>
      <c r="D205" t="e">
        <f>VLOOKUP(B205,'Life expectancy index'!B203:C410,2,0)</f>
        <v>#N/A</v>
      </c>
      <c r="E205" t="e">
        <f>VLOOKUP(A205,'Internet users, total (% of pop'!B203:C414,2,0)</f>
        <v>#N/A</v>
      </c>
      <c r="F205" t="e">
        <f>VLOOKUP(B205,'Income Index'!B203:C410,2,0)</f>
        <v>#N/A</v>
      </c>
      <c r="G205" t="e">
        <f>VLOOKUP(A205,'Human Development Index (HDI)	'!B203:C408,2,0)</f>
        <v>#N/A</v>
      </c>
      <c r="H205" t="e">
        <f>VLOOKUP(B205,'Government expenditure on educa'!B203:C411,2,0)</f>
        <v>#N/A</v>
      </c>
      <c r="I205" t="e">
        <f>VLOOKUP(B205,'GDP per capita (2017 PPP $)'!B203:C411,2,0)</f>
        <v>#N/A</v>
      </c>
      <c r="J205" t="e">
        <f>VLOOKUP(B205,'Forest area (% of total land ar'!B203:C413,2,0)</f>
        <v>#N/A</v>
      </c>
      <c r="L205" t="s">
        <v>39</v>
      </c>
      <c r="M205">
        <v>509</v>
      </c>
      <c r="N205">
        <v>0.85</v>
      </c>
      <c r="O205">
        <v>0</v>
      </c>
      <c r="P205">
        <v>0</v>
      </c>
      <c r="Q205">
        <v>0</v>
      </c>
      <c r="R205">
        <v>21</v>
      </c>
      <c r="S205">
        <v>0.04</v>
      </c>
      <c r="T205">
        <v>0</v>
      </c>
      <c r="U205">
        <v>0</v>
      </c>
      <c r="V205">
        <v>0</v>
      </c>
      <c r="W205" t="s">
        <v>170</v>
      </c>
    </row>
    <row r="206" spans="1:23" x14ac:dyDescent="0.35">
      <c r="A206" t="s">
        <v>229</v>
      </c>
      <c r="B206" t="str">
        <f t="shared" si="3"/>
        <v>Wallis and Futuna</v>
      </c>
      <c r="C206" t="e">
        <f>VLOOKUP(B206,'Literacy Rate'!B204:C411,2,0)</f>
        <v>#N/A</v>
      </c>
      <c r="D206" t="e">
        <f>VLOOKUP(B206,'Life expectancy index'!B204:C411,2,0)</f>
        <v>#N/A</v>
      </c>
      <c r="E206" t="e">
        <f>VLOOKUP(A206,'Internet users, total (% of pop'!B204:C415,2,0)</f>
        <v>#N/A</v>
      </c>
      <c r="F206" t="e">
        <f>VLOOKUP(B206,'Income Index'!B204:C411,2,0)</f>
        <v>#N/A</v>
      </c>
      <c r="G206" t="e">
        <f>VLOOKUP(A206,'Human Development Index (HDI)	'!B204:C409,2,0)</f>
        <v>#N/A</v>
      </c>
      <c r="H206" t="e">
        <f>VLOOKUP(B206,'Government expenditure on educa'!B204:C412,2,0)</f>
        <v>#N/A</v>
      </c>
      <c r="I206" t="e">
        <f>VLOOKUP(B206,'GDP per capita (2017 PPP $)'!B204:C412,2,0)</f>
        <v>#N/A</v>
      </c>
      <c r="J206" t="e">
        <f>VLOOKUP(B206,'Forest area (% of total land ar'!B204:C414,2,0)</f>
        <v>#N/A</v>
      </c>
      <c r="L206" t="s">
        <v>44</v>
      </c>
      <c r="M206">
        <v>454</v>
      </c>
      <c r="N206">
        <v>4036.99</v>
      </c>
      <c r="O206">
        <v>0</v>
      </c>
      <c r="P206">
        <v>0</v>
      </c>
      <c r="Q206">
        <v>0</v>
      </c>
      <c r="R206">
        <v>7</v>
      </c>
      <c r="S206">
        <v>62.24</v>
      </c>
      <c r="T206">
        <v>0</v>
      </c>
      <c r="U206">
        <v>0</v>
      </c>
      <c r="V206">
        <v>0</v>
      </c>
      <c r="W206" t="s">
        <v>109</v>
      </c>
    </row>
    <row r="207" spans="1:23" x14ac:dyDescent="0.35">
      <c r="A207" t="s">
        <v>230</v>
      </c>
      <c r="B207" t="str">
        <f t="shared" si="3"/>
        <v>Saint Kitts and Nevis</v>
      </c>
      <c r="C207" t="e">
        <f>VLOOKUP(B207,'Literacy Rate'!B205:C412,2,0)</f>
        <v>#N/A</v>
      </c>
      <c r="D207" t="e">
        <f>VLOOKUP(B207,'Life expectancy index'!B205:C412,2,0)</f>
        <v>#N/A</v>
      </c>
      <c r="E207" t="e">
        <f>VLOOKUP(A207,'Internet users, total (% of pop'!B205:C416,2,0)</f>
        <v>#N/A</v>
      </c>
      <c r="F207" t="e">
        <f>VLOOKUP(B207,'Income Index'!B205:C412,2,0)</f>
        <v>#N/A</v>
      </c>
      <c r="G207" t="e">
        <f>VLOOKUP(A207,'Human Development Index (HDI)	'!B205:C410,2,0)</f>
        <v>#N/A</v>
      </c>
      <c r="H207" t="e">
        <f>VLOOKUP(B207,'Government expenditure on educa'!B205:C413,2,0)</f>
        <v>#N/A</v>
      </c>
      <c r="I207" t="e">
        <f>VLOOKUP(B207,'GDP per capita (2017 PPP $)'!B205:C413,2,0)</f>
        <v>#N/A</v>
      </c>
      <c r="J207" t="e">
        <f>VLOOKUP(B207,'Forest area (% of total land ar'!B205:C415,2,0)</f>
        <v>#N/A</v>
      </c>
      <c r="L207" t="s">
        <v>15</v>
      </c>
      <c r="M207">
        <v>446</v>
      </c>
      <c r="N207">
        <v>838.47</v>
      </c>
      <c r="O207">
        <v>50</v>
      </c>
      <c r="P207">
        <v>94</v>
      </c>
      <c r="Q207">
        <v>3</v>
      </c>
      <c r="R207">
        <v>3</v>
      </c>
      <c r="S207">
        <v>5.64</v>
      </c>
      <c r="T207">
        <v>0</v>
      </c>
      <c r="U207">
        <v>0</v>
      </c>
      <c r="V207">
        <v>0</v>
      </c>
      <c r="W207" t="s">
        <v>16</v>
      </c>
    </row>
    <row r="208" spans="1:23" x14ac:dyDescent="0.35">
      <c r="A208" t="s">
        <v>231</v>
      </c>
      <c r="B208" t="str">
        <f t="shared" si="3"/>
        <v>British Virgin Islands</v>
      </c>
      <c r="C208" t="e">
        <f>VLOOKUP(B208,'Literacy Rate'!B206:C413,2,0)</f>
        <v>#N/A</v>
      </c>
      <c r="D208" t="e">
        <f>VLOOKUP(B208,'Life expectancy index'!B206:C413,2,0)</f>
        <v>#N/A</v>
      </c>
      <c r="E208" t="e">
        <f>VLOOKUP(A208,'Internet users, total (% of pop'!B206:C417,2,0)</f>
        <v>#N/A</v>
      </c>
      <c r="F208" t="e">
        <f>VLOOKUP(B208,'Income Index'!B206:C413,2,0)</f>
        <v>#N/A</v>
      </c>
      <c r="G208" t="e">
        <f>VLOOKUP(A208,'Human Development Index (HDI)	'!B206:C411,2,0)</f>
        <v>#N/A</v>
      </c>
      <c r="H208" t="e">
        <f>VLOOKUP(B208,'Government expenditure on educa'!B206:C414,2,0)</f>
        <v>#N/A</v>
      </c>
      <c r="I208" t="e">
        <f>VLOOKUP(B208,'GDP per capita (2017 PPP $)'!B206:C414,2,0)</f>
        <v>#N/A</v>
      </c>
      <c r="J208" t="e">
        <f>VLOOKUP(B208,'Forest area (% of total land ar'!B206:C416,2,0)</f>
        <v>#N/A</v>
      </c>
      <c r="L208" t="s">
        <v>15</v>
      </c>
      <c r="M208">
        <v>350</v>
      </c>
      <c r="N208">
        <v>1157.52</v>
      </c>
      <c r="O208">
        <v>55</v>
      </c>
      <c r="P208">
        <v>181.9</v>
      </c>
      <c r="Q208">
        <v>37</v>
      </c>
      <c r="R208">
        <v>1</v>
      </c>
      <c r="S208">
        <v>3.31</v>
      </c>
      <c r="T208">
        <v>0</v>
      </c>
      <c r="U208">
        <v>0</v>
      </c>
      <c r="V208">
        <v>0</v>
      </c>
      <c r="W208" t="s">
        <v>19</v>
      </c>
    </row>
    <row r="209" spans="1:23" x14ac:dyDescent="0.35">
      <c r="A209" t="s">
        <v>232</v>
      </c>
      <c r="B209" t="str">
        <f t="shared" si="3"/>
        <v>Brunei Darussalam</v>
      </c>
      <c r="C209" t="e">
        <f>VLOOKUP(B209,'Literacy Rate'!B207:C414,2,0)</f>
        <v>#N/A</v>
      </c>
      <c r="D209" t="e">
        <f>VLOOKUP(B209,'Life expectancy index'!B207:C414,2,0)</f>
        <v>#N/A</v>
      </c>
      <c r="E209" t="e">
        <f>VLOOKUP(A209,'Internet users, total (% of pop'!B207:C418,2,0)</f>
        <v>#N/A</v>
      </c>
      <c r="F209" t="e">
        <f>VLOOKUP(B209,'Income Index'!B207:C414,2,0)</f>
        <v>#N/A</v>
      </c>
      <c r="G209" t="e">
        <f>VLOOKUP(A209,'Human Development Index (HDI)	'!B207:C412,2,0)</f>
        <v>#N/A</v>
      </c>
      <c r="H209" t="e">
        <f>VLOOKUP(B209,'Government expenditure on educa'!B207:C415,2,0)</f>
        <v>#N/A</v>
      </c>
      <c r="I209" t="e">
        <f>VLOOKUP(B209,'GDP per capita (2017 PPP $)'!B207:C415,2,0)</f>
        <v>#N/A</v>
      </c>
      <c r="J209" t="e">
        <f>VLOOKUP(B209,'Forest area (% of total land ar'!B207:C417,2,0)</f>
        <v>#N/A</v>
      </c>
      <c r="L209" t="s">
        <v>44</v>
      </c>
      <c r="M209">
        <v>261</v>
      </c>
      <c r="N209">
        <v>59.66</v>
      </c>
      <c r="O209">
        <v>5</v>
      </c>
      <c r="P209">
        <v>1.1399999999999999</v>
      </c>
      <c r="Q209">
        <v>1</v>
      </c>
      <c r="R209">
        <v>3</v>
      </c>
      <c r="S209">
        <v>0.69</v>
      </c>
      <c r="T209">
        <v>0</v>
      </c>
      <c r="U209">
        <v>0</v>
      </c>
      <c r="V209">
        <v>0</v>
      </c>
      <c r="W209" t="s">
        <v>109</v>
      </c>
    </row>
    <row r="210" spans="1:23" x14ac:dyDescent="0.35">
      <c r="A210" t="s">
        <v>233</v>
      </c>
      <c r="B210" t="str">
        <f t="shared" si="3"/>
        <v>Dominica</v>
      </c>
      <c r="C210" t="e">
        <f>VLOOKUP(B210,'Literacy Rate'!B208:C415,2,0)</f>
        <v>#N/A</v>
      </c>
      <c r="D210" t="e">
        <f>VLOOKUP(B210,'Life expectancy index'!B208:C415,2,0)</f>
        <v>#N/A</v>
      </c>
      <c r="E210" t="e">
        <f>VLOOKUP(A210,'Internet users, total (% of pop'!B208:C419,2,0)</f>
        <v>#N/A</v>
      </c>
      <c r="F210" t="e">
        <f>VLOOKUP(B210,'Income Index'!B208:C415,2,0)</f>
        <v>#N/A</v>
      </c>
      <c r="G210" t="e">
        <f>VLOOKUP(A210,'Human Development Index (HDI)	'!B208:C413,2,0)</f>
        <v>#N/A</v>
      </c>
      <c r="H210" t="e">
        <f>VLOOKUP(B210,'Government expenditure on educa'!B208:C416,2,0)</f>
        <v>#N/A</v>
      </c>
      <c r="I210" t="e">
        <f>VLOOKUP(B210,'GDP per capita (2017 PPP $)'!B208:C416,2,0)</f>
        <v>#N/A</v>
      </c>
      <c r="J210" t="e">
        <f>VLOOKUP(B210,'Forest area (% of total land ar'!B208:C418,2,0)</f>
        <v>#N/A</v>
      </c>
      <c r="L210" t="s">
        <v>15</v>
      </c>
      <c r="M210">
        <v>194</v>
      </c>
      <c r="N210">
        <v>269.48</v>
      </c>
      <c r="O210">
        <v>2</v>
      </c>
      <c r="P210">
        <v>2.78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 t="s">
        <v>19</v>
      </c>
    </row>
    <row r="211" spans="1:23" x14ac:dyDescent="0.35">
      <c r="A211" t="s">
        <v>234</v>
      </c>
      <c r="B211" t="str">
        <f t="shared" si="3"/>
        <v>Northern Mariana Islands (Commonwealth of the)</v>
      </c>
      <c r="C211" t="e">
        <f>VLOOKUP(B211,'Literacy Rate'!B209:C416,2,0)</f>
        <v>#N/A</v>
      </c>
      <c r="D211" t="e">
        <f>VLOOKUP(B211,'Life expectancy index'!B209:C416,2,0)</f>
        <v>#N/A</v>
      </c>
      <c r="E211" t="e">
        <f>VLOOKUP(A211,'Internet users, total (% of pop'!B209:C420,2,0)</f>
        <v>#N/A</v>
      </c>
      <c r="F211" t="e">
        <f>VLOOKUP(B211,'Income Index'!B209:C416,2,0)</f>
        <v>#N/A</v>
      </c>
      <c r="G211" t="e">
        <f>VLOOKUP(A211,'Human Development Index (HDI)	'!B209:C414,2,0)</f>
        <v>#N/A</v>
      </c>
      <c r="H211" t="e">
        <f>VLOOKUP(B211,'Government expenditure on educa'!B209:C417,2,0)</f>
        <v>#N/A</v>
      </c>
      <c r="I211" t="e">
        <f>VLOOKUP(B211,'GDP per capita (2017 PPP $)'!B209:C417,2,0)</f>
        <v>#N/A</v>
      </c>
      <c r="J211" t="e">
        <f>VLOOKUP(B211,'Forest area (% of total land ar'!B209:C419,2,0)</f>
        <v>#N/A</v>
      </c>
      <c r="L211" t="s">
        <v>44</v>
      </c>
      <c r="M211">
        <v>183</v>
      </c>
      <c r="N211">
        <v>317.95</v>
      </c>
      <c r="O211">
        <v>0</v>
      </c>
      <c r="P211">
        <v>0</v>
      </c>
      <c r="Q211">
        <v>0</v>
      </c>
      <c r="R211">
        <v>2</v>
      </c>
      <c r="S211">
        <v>3.47</v>
      </c>
      <c r="T211">
        <v>0</v>
      </c>
      <c r="U211">
        <v>0</v>
      </c>
      <c r="V211">
        <v>0</v>
      </c>
      <c r="W211" t="s">
        <v>170</v>
      </c>
    </row>
    <row r="212" spans="1:23" x14ac:dyDescent="0.35">
      <c r="A212" t="s">
        <v>235</v>
      </c>
      <c r="B212" t="str">
        <f t="shared" si="3"/>
        <v>Grenada</v>
      </c>
      <c r="C212" t="e">
        <f>VLOOKUP(B212,'Literacy Rate'!B210:C417,2,0)</f>
        <v>#N/A</v>
      </c>
      <c r="D212" t="e">
        <f>VLOOKUP(B212,'Life expectancy index'!B210:C417,2,0)</f>
        <v>#N/A</v>
      </c>
      <c r="E212" t="e">
        <f>VLOOKUP(A212,'Internet users, total (% of pop'!B210:C421,2,0)</f>
        <v>#N/A</v>
      </c>
      <c r="F212" t="e">
        <f>VLOOKUP(B212,'Income Index'!B210:C417,2,0)</f>
        <v>#N/A</v>
      </c>
      <c r="G212" t="e">
        <f>VLOOKUP(A212,'Human Development Index (HDI)	'!B210:C415,2,0)</f>
        <v>#N/A</v>
      </c>
      <c r="H212" t="e">
        <f>VLOOKUP(B212,'Government expenditure on educa'!B210:C418,2,0)</f>
        <v>#N/A</v>
      </c>
      <c r="I212" t="e">
        <f>VLOOKUP(B212,'GDP per capita (2017 PPP $)'!B210:C418,2,0)</f>
        <v>#N/A</v>
      </c>
      <c r="J212" t="e">
        <f>VLOOKUP(B212,'Forest area (% of total land ar'!B210:C420,2,0)</f>
        <v>#N/A</v>
      </c>
      <c r="L212" t="s">
        <v>15</v>
      </c>
      <c r="M212">
        <v>162</v>
      </c>
      <c r="N212">
        <v>143.97</v>
      </c>
      <c r="O212">
        <v>1</v>
      </c>
      <c r="P212">
        <v>0.89</v>
      </c>
      <c r="Q212">
        <v>0</v>
      </c>
      <c r="R212">
        <v>1</v>
      </c>
      <c r="S212">
        <v>0.89</v>
      </c>
      <c r="T212">
        <v>0</v>
      </c>
      <c r="U212">
        <v>0</v>
      </c>
      <c r="V212">
        <v>0</v>
      </c>
      <c r="W212" t="s">
        <v>109</v>
      </c>
    </row>
    <row r="213" spans="1:23" x14ac:dyDescent="0.35">
      <c r="A213" t="s">
        <v>236</v>
      </c>
      <c r="B213" t="str">
        <f t="shared" si="3"/>
        <v>New Caledonia</v>
      </c>
      <c r="C213" t="e">
        <f>VLOOKUP(B213,'Literacy Rate'!B211:C418,2,0)</f>
        <v>#N/A</v>
      </c>
      <c r="D213" t="e">
        <f>VLOOKUP(B213,'Life expectancy index'!B211:C418,2,0)</f>
        <v>#N/A</v>
      </c>
      <c r="E213" t="e">
        <f>VLOOKUP(A213,'Internet users, total (% of pop'!B211:C422,2,0)</f>
        <v>#N/A</v>
      </c>
      <c r="F213" t="e">
        <f>VLOOKUP(B213,'Income Index'!B211:C418,2,0)</f>
        <v>#N/A</v>
      </c>
      <c r="G213" t="e">
        <f>VLOOKUP(A213,'Human Development Index (HDI)	'!B211:C416,2,0)</f>
        <v>#N/A</v>
      </c>
      <c r="H213" t="e">
        <f>VLOOKUP(B213,'Government expenditure on educa'!B211:C419,2,0)</f>
        <v>#N/A</v>
      </c>
      <c r="I213" t="e">
        <f>VLOOKUP(B213,'GDP per capita (2017 PPP $)'!B211:C419,2,0)</f>
        <v>#N/A</v>
      </c>
      <c r="J213" t="e">
        <f>VLOOKUP(B213,'Forest area (% of total land ar'!B211:C421,2,0)</f>
        <v>#N/A</v>
      </c>
      <c r="L213" t="s">
        <v>44</v>
      </c>
      <c r="M213">
        <v>129</v>
      </c>
      <c r="N213">
        <v>45.18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 t="s">
        <v>109</v>
      </c>
    </row>
    <row r="214" spans="1:23" x14ac:dyDescent="0.35">
      <c r="A214" t="s">
        <v>237</v>
      </c>
      <c r="B214" t="str">
        <f t="shared" si="3"/>
        <v>Anguilla</v>
      </c>
      <c r="C214" t="e">
        <f>VLOOKUP(B214,'Literacy Rate'!B212:C419,2,0)</f>
        <v>#N/A</v>
      </c>
      <c r="D214" t="e">
        <f>VLOOKUP(B214,'Life expectancy index'!B212:C419,2,0)</f>
        <v>#N/A</v>
      </c>
      <c r="E214" t="e">
        <f>VLOOKUP(A214,'Internet users, total (% of pop'!B212:C423,2,0)</f>
        <v>#N/A</v>
      </c>
      <c r="F214" t="e">
        <f>VLOOKUP(B214,'Income Index'!B212:C419,2,0)</f>
        <v>#N/A</v>
      </c>
      <c r="G214" t="e">
        <f>VLOOKUP(A214,'Human Development Index (HDI)	'!B212:C417,2,0)</f>
        <v>#N/A</v>
      </c>
      <c r="H214" t="e">
        <f>VLOOKUP(B214,'Government expenditure on educa'!B212:C420,2,0)</f>
        <v>#N/A</v>
      </c>
      <c r="I214" t="e">
        <f>VLOOKUP(B214,'GDP per capita (2017 PPP $)'!B212:C420,2,0)</f>
        <v>#N/A</v>
      </c>
      <c r="J214" t="e">
        <f>VLOOKUP(B214,'Forest area (% of total land ar'!B212:C422,2,0)</f>
        <v>#N/A</v>
      </c>
      <c r="L214" t="s">
        <v>15</v>
      </c>
      <c r="M214">
        <v>109</v>
      </c>
      <c r="N214">
        <v>726.57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 t="s">
        <v>220</v>
      </c>
    </row>
    <row r="215" spans="1:23" x14ac:dyDescent="0.35">
      <c r="A215" t="s">
        <v>238</v>
      </c>
      <c r="B215" t="str">
        <f t="shared" si="3"/>
        <v>Falkland Islands (Malvinas)</v>
      </c>
      <c r="C215" t="e">
        <f>VLOOKUP(B215,'Literacy Rate'!B213:C420,2,0)</f>
        <v>#N/A</v>
      </c>
      <c r="D215" t="e">
        <f>VLOOKUP(B215,'Life expectancy index'!B213:C420,2,0)</f>
        <v>#N/A</v>
      </c>
      <c r="E215" t="e">
        <f>VLOOKUP(A215,'Internet users, total (% of pop'!B213:C424,2,0)</f>
        <v>#N/A</v>
      </c>
      <c r="F215" t="e">
        <f>VLOOKUP(B215,'Income Index'!B213:C420,2,0)</f>
        <v>#N/A</v>
      </c>
      <c r="G215" t="e">
        <f>VLOOKUP(A215,'Human Development Index (HDI)	'!B213:C418,2,0)</f>
        <v>#N/A</v>
      </c>
      <c r="H215" t="e">
        <f>VLOOKUP(B215,'Government expenditure on educa'!B213:C421,2,0)</f>
        <v>#N/A</v>
      </c>
      <c r="I215" t="e">
        <f>VLOOKUP(B215,'GDP per capita (2017 PPP $)'!B213:C421,2,0)</f>
        <v>#N/A</v>
      </c>
      <c r="J215" t="e">
        <f>VLOOKUP(B215,'Forest area (% of total land ar'!B213:C423,2,0)</f>
        <v>#N/A</v>
      </c>
      <c r="L215" t="s">
        <v>15</v>
      </c>
      <c r="M215">
        <v>60</v>
      </c>
      <c r="N215">
        <v>1722.65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 t="s">
        <v>220</v>
      </c>
    </row>
    <row r="216" spans="1:23" x14ac:dyDescent="0.35">
      <c r="A216" t="s">
        <v>239</v>
      </c>
      <c r="B216" t="str">
        <f t="shared" si="3"/>
        <v>Greenland</v>
      </c>
      <c r="C216" t="e">
        <f>VLOOKUP(B216,'Literacy Rate'!B214:C421,2,0)</f>
        <v>#N/A</v>
      </c>
      <c r="D216" t="e">
        <f>VLOOKUP(B216,'Life expectancy index'!B214:C421,2,0)</f>
        <v>#N/A</v>
      </c>
      <c r="E216" t="e">
        <f>VLOOKUP(A216,'Internet users, total (% of pop'!B214:C425,2,0)</f>
        <v>#N/A</v>
      </c>
      <c r="F216" t="e">
        <f>VLOOKUP(B216,'Income Index'!B214:C421,2,0)</f>
        <v>#N/A</v>
      </c>
      <c r="G216" t="e">
        <f>VLOOKUP(A216,'Human Development Index (HDI)	'!B214:C419,2,0)</f>
        <v>#N/A</v>
      </c>
      <c r="H216" t="e">
        <f>VLOOKUP(B216,'Government expenditure on educa'!B214:C422,2,0)</f>
        <v>#N/A</v>
      </c>
      <c r="I216" t="e">
        <f>VLOOKUP(B216,'GDP per capita (2017 PPP $)'!B214:C422,2,0)</f>
        <v>#N/A</v>
      </c>
      <c r="J216" t="e">
        <f>VLOOKUP(B216,'Forest area (% of total land ar'!B214:C424,2,0)</f>
        <v>#N/A</v>
      </c>
      <c r="L216" t="s">
        <v>22</v>
      </c>
      <c r="M216">
        <v>50</v>
      </c>
      <c r="N216">
        <v>88.07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 t="s">
        <v>220</v>
      </c>
    </row>
    <row r="217" spans="1:23" x14ac:dyDescent="0.35">
      <c r="A217" t="s">
        <v>240</v>
      </c>
      <c r="B217" t="str">
        <f t="shared" si="3"/>
        <v>Holy See</v>
      </c>
      <c r="C217" t="e">
        <f>VLOOKUP(B217,'Literacy Rate'!B215:C422,2,0)</f>
        <v>#N/A</v>
      </c>
      <c r="D217" t="e">
        <f>VLOOKUP(B217,'Life expectancy index'!B215:C422,2,0)</f>
        <v>#N/A</v>
      </c>
      <c r="E217" t="e">
        <f>VLOOKUP(A217,'Internet users, total (% of pop'!B215:C426,2,0)</f>
        <v>#N/A</v>
      </c>
      <c r="F217" t="e">
        <f>VLOOKUP(B217,'Income Index'!B215:C422,2,0)</f>
        <v>#N/A</v>
      </c>
      <c r="G217" t="e">
        <f>VLOOKUP(A217,'Human Development Index (HDI)	'!B215:C420,2,0)</f>
        <v>#N/A</v>
      </c>
      <c r="H217" t="e">
        <f>VLOOKUP(B217,'Government expenditure on educa'!B215:C423,2,0)</f>
        <v>#N/A</v>
      </c>
      <c r="I217" t="e">
        <f>VLOOKUP(B217,'GDP per capita (2017 PPP $)'!B215:C423,2,0)</f>
        <v>#N/A</v>
      </c>
      <c r="J217" t="e">
        <f>VLOOKUP(B217,'Forest area (% of total land ar'!B215:C425,2,0)</f>
        <v>#N/A</v>
      </c>
      <c r="L217" t="s">
        <v>22</v>
      </c>
      <c r="M217">
        <v>26</v>
      </c>
      <c r="N217">
        <v>3213.84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 t="s">
        <v>109</v>
      </c>
    </row>
    <row r="218" spans="1:23" x14ac:dyDescent="0.35">
      <c r="A218" t="s">
        <v>241</v>
      </c>
      <c r="B218" t="str">
        <f t="shared" si="3"/>
        <v>Saint Pierre and Miquelon</v>
      </c>
      <c r="C218" t="e">
        <f>VLOOKUP(B218,'Literacy Rate'!B216:C423,2,0)</f>
        <v>#N/A</v>
      </c>
      <c r="D218" t="e">
        <f>VLOOKUP(B218,'Life expectancy index'!B216:C423,2,0)</f>
        <v>#N/A</v>
      </c>
      <c r="E218" t="e">
        <f>VLOOKUP(A218,'Internet users, total (% of pop'!B216:C427,2,0)</f>
        <v>#N/A</v>
      </c>
      <c r="F218" t="e">
        <f>VLOOKUP(B218,'Income Index'!B216:C423,2,0)</f>
        <v>#N/A</v>
      </c>
      <c r="G218" t="e">
        <f>VLOOKUP(A218,'Human Development Index (HDI)	'!B216:C421,2,0)</f>
        <v>#N/A</v>
      </c>
      <c r="H218" t="e">
        <f>VLOOKUP(B218,'Government expenditure on educa'!B216:C424,2,0)</f>
        <v>#N/A</v>
      </c>
      <c r="I218" t="e">
        <f>VLOOKUP(B218,'GDP per capita (2017 PPP $)'!B216:C424,2,0)</f>
        <v>#N/A</v>
      </c>
      <c r="J218" t="e">
        <f>VLOOKUP(B218,'Forest area (% of total land ar'!B216:C426,2,0)</f>
        <v>#N/A</v>
      </c>
      <c r="L218" t="s">
        <v>15</v>
      </c>
      <c r="M218">
        <v>26</v>
      </c>
      <c r="N218">
        <v>448.66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 t="s">
        <v>109</v>
      </c>
    </row>
    <row r="219" spans="1:23" x14ac:dyDescent="0.35">
      <c r="A219" t="s">
        <v>242</v>
      </c>
      <c r="B219" t="str">
        <f t="shared" si="3"/>
        <v>Montserrat</v>
      </c>
      <c r="C219" t="e">
        <f>VLOOKUP(B219,'Literacy Rate'!B217:C424,2,0)</f>
        <v>#N/A</v>
      </c>
      <c r="D219" t="e">
        <f>VLOOKUP(B219,'Life expectancy index'!B217:C424,2,0)</f>
        <v>#N/A</v>
      </c>
      <c r="E219" t="e">
        <f>VLOOKUP(A219,'Internet users, total (% of pop'!B217:C428,2,0)</f>
        <v>#N/A</v>
      </c>
      <c r="F219" t="e">
        <f>VLOOKUP(B219,'Income Index'!B217:C424,2,0)</f>
        <v>#N/A</v>
      </c>
      <c r="G219" t="e">
        <f>VLOOKUP(A219,'Human Development Index (HDI)	'!B217:C422,2,0)</f>
        <v>#N/A</v>
      </c>
      <c r="H219" t="e">
        <f>VLOOKUP(B219,'Government expenditure on educa'!B217:C425,2,0)</f>
        <v>#N/A</v>
      </c>
      <c r="I219" t="e">
        <f>VLOOKUP(B219,'GDP per capita (2017 PPP $)'!B217:C425,2,0)</f>
        <v>#N/A</v>
      </c>
      <c r="J219" t="e">
        <f>VLOOKUP(B219,'Forest area (% of total land ar'!B217:C427,2,0)</f>
        <v>#N/A</v>
      </c>
      <c r="L219" t="s">
        <v>15</v>
      </c>
      <c r="M219">
        <v>20</v>
      </c>
      <c r="N219">
        <v>400.08</v>
      </c>
      <c r="O219">
        <v>0</v>
      </c>
      <c r="P219">
        <v>0</v>
      </c>
      <c r="Q219">
        <v>0</v>
      </c>
      <c r="R219">
        <v>1</v>
      </c>
      <c r="S219">
        <v>20</v>
      </c>
      <c r="T219">
        <v>0</v>
      </c>
      <c r="U219">
        <v>0</v>
      </c>
      <c r="V219">
        <v>0</v>
      </c>
      <c r="W219" t="s">
        <v>220</v>
      </c>
    </row>
    <row r="220" spans="1:23" x14ac:dyDescent="0.35">
      <c r="A220" t="s">
        <v>243</v>
      </c>
      <c r="B220" t="str">
        <f t="shared" si="3"/>
        <v>Sint Eustatius</v>
      </c>
      <c r="C220" t="e">
        <f>VLOOKUP(B220,'Literacy Rate'!B218:C425,2,0)</f>
        <v>#N/A</v>
      </c>
      <c r="D220" t="e">
        <f>VLOOKUP(B220,'Life expectancy index'!B218:C425,2,0)</f>
        <v>#N/A</v>
      </c>
      <c r="E220" t="e">
        <f>VLOOKUP(A220,'Internet users, total (% of pop'!B218:C429,2,0)</f>
        <v>#N/A</v>
      </c>
      <c r="F220" t="e">
        <f>VLOOKUP(B220,'Income Index'!B218:C425,2,0)</f>
        <v>#N/A</v>
      </c>
      <c r="G220" t="e">
        <f>VLOOKUP(A220,'Human Development Index (HDI)	'!B218:C423,2,0)</f>
        <v>#N/A</v>
      </c>
      <c r="H220" t="e">
        <f>VLOOKUP(B220,'Government expenditure on educa'!B218:C426,2,0)</f>
        <v>#N/A</v>
      </c>
      <c r="I220" t="e">
        <f>VLOOKUP(B220,'GDP per capita (2017 PPP $)'!B218:C426,2,0)</f>
        <v>#N/A</v>
      </c>
      <c r="J220" t="e">
        <f>VLOOKUP(B220,'Forest area (% of total land ar'!B218:C428,2,0)</f>
        <v>#N/A</v>
      </c>
      <c r="L220" t="s">
        <v>15</v>
      </c>
      <c r="M220">
        <v>20</v>
      </c>
      <c r="N220">
        <v>637.15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 t="s">
        <v>220</v>
      </c>
    </row>
    <row r="221" spans="1:23" x14ac:dyDescent="0.35">
      <c r="A221" t="s">
        <v>244</v>
      </c>
      <c r="B221" t="str">
        <f t="shared" si="3"/>
        <v>Solomon Islands</v>
      </c>
      <c r="C221" t="e">
        <f>VLOOKUP(B221,'Literacy Rate'!B219:C426,2,0)</f>
        <v>#N/A</v>
      </c>
      <c r="D221" t="e">
        <f>VLOOKUP(B221,'Life expectancy index'!B219:C426,2,0)</f>
        <v>#N/A</v>
      </c>
      <c r="E221" t="e">
        <f>VLOOKUP(A221,'Internet users, total (% of pop'!B219:C430,2,0)</f>
        <v>#N/A</v>
      </c>
      <c r="F221" t="e">
        <f>VLOOKUP(B221,'Income Index'!B219:C426,2,0)</f>
        <v>#N/A</v>
      </c>
      <c r="G221" t="e">
        <f>VLOOKUP(A221,'Human Development Index (HDI)	'!B219:C424,2,0)</f>
        <v>#N/A</v>
      </c>
      <c r="H221" t="e">
        <f>VLOOKUP(B221,'Government expenditure on educa'!B219:C427,2,0)</f>
        <v>#N/A</v>
      </c>
      <c r="I221" t="e">
        <f>VLOOKUP(B221,'GDP per capita (2017 PPP $)'!B219:C427,2,0)</f>
        <v>#N/A</v>
      </c>
      <c r="J221" t="e">
        <f>VLOOKUP(B221,'Forest area (% of total land ar'!B219:C429,2,0)</f>
        <v>#N/A</v>
      </c>
      <c r="L221" t="s">
        <v>44</v>
      </c>
      <c r="M221">
        <v>20</v>
      </c>
      <c r="N221">
        <v>2.91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 t="s">
        <v>220</v>
      </c>
    </row>
    <row r="222" spans="1:23" x14ac:dyDescent="0.35">
      <c r="A222" t="s">
        <v>245</v>
      </c>
      <c r="B222" t="str">
        <f t="shared" si="3"/>
        <v>Saba</v>
      </c>
      <c r="C222" t="e">
        <f>VLOOKUP(B222,'Literacy Rate'!B220:C427,2,0)</f>
        <v>#N/A</v>
      </c>
      <c r="D222" t="e">
        <f>VLOOKUP(B222,'Life expectancy index'!B220:C427,2,0)</f>
        <v>#N/A</v>
      </c>
      <c r="E222" t="e">
        <f>VLOOKUP(A222,'Internet users, total (% of pop'!B220:C431,2,0)</f>
        <v>#N/A</v>
      </c>
      <c r="F222" t="e">
        <f>VLOOKUP(B222,'Income Index'!B220:C427,2,0)</f>
        <v>#N/A</v>
      </c>
      <c r="G222" t="e">
        <f>VLOOKUP(A222,'Human Development Index (HDI)	'!B220:C425,2,0)</f>
        <v>#N/A</v>
      </c>
      <c r="H222" t="e">
        <f>VLOOKUP(B222,'Government expenditure on educa'!B220:C428,2,0)</f>
        <v>#N/A</v>
      </c>
      <c r="I222" t="e">
        <f>VLOOKUP(B222,'GDP per capita (2017 PPP $)'!B220:C428,2,0)</f>
        <v>#N/A</v>
      </c>
      <c r="J222" t="e">
        <f>VLOOKUP(B222,'Forest area (% of total land ar'!B220:C430,2,0)</f>
        <v>#N/A</v>
      </c>
      <c r="L222" t="s">
        <v>15</v>
      </c>
      <c r="M222">
        <v>7</v>
      </c>
      <c r="N222">
        <v>362.13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 t="s">
        <v>220</v>
      </c>
    </row>
    <row r="223" spans="1:23" x14ac:dyDescent="0.35">
      <c r="A223" t="s">
        <v>246</v>
      </c>
      <c r="B223" t="str">
        <f t="shared" si="3"/>
        <v>Marshall Islands</v>
      </c>
      <c r="C223" t="e">
        <f>VLOOKUP(B223,'Literacy Rate'!B221:C428,2,0)</f>
        <v>#N/A</v>
      </c>
      <c r="D223" t="e">
        <f>VLOOKUP(B223,'Life expectancy index'!B221:C428,2,0)</f>
        <v>#N/A</v>
      </c>
      <c r="E223" t="e">
        <f>VLOOKUP(A223,'Internet users, total (% of pop'!B221:C432,2,0)</f>
        <v>#N/A</v>
      </c>
      <c r="F223" t="e">
        <f>VLOOKUP(B223,'Income Index'!B221:C428,2,0)</f>
        <v>#N/A</v>
      </c>
      <c r="G223" t="e">
        <f>VLOOKUP(A223,'Human Development Index (HDI)	'!B221:C426,2,0)</f>
        <v>#N/A</v>
      </c>
      <c r="H223" t="e">
        <f>VLOOKUP(B223,'Government expenditure on educa'!B221:C429,2,0)</f>
        <v>#N/A</v>
      </c>
      <c r="I223" t="e">
        <f>VLOOKUP(B223,'GDP per capita (2017 PPP $)'!B221:C429,2,0)</f>
        <v>#N/A</v>
      </c>
      <c r="J223" t="e">
        <f>VLOOKUP(B223,'Forest area (% of total land ar'!B221:C431,2,0)</f>
        <v>#N/A</v>
      </c>
      <c r="L223" t="s">
        <v>44</v>
      </c>
      <c r="M223">
        <v>4</v>
      </c>
      <c r="N223">
        <v>6.76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 t="s">
        <v>220</v>
      </c>
    </row>
    <row r="224" spans="1:23" x14ac:dyDescent="0.35">
      <c r="A224" t="s">
        <v>247</v>
      </c>
      <c r="B224" t="str">
        <f t="shared" si="3"/>
        <v>Vanuatu</v>
      </c>
      <c r="C224" t="e">
        <f>VLOOKUP(B224,'Literacy Rate'!B222:C429,2,0)</f>
        <v>#N/A</v>
      </c>
      <c r="D224" t="e">
        <f>VLOOKUP(B224,'Life expectancy index'!B222:C429,2,0)</f>
        <v>#N/A</v>
      </c>
      <c r="E224" t="e">
        <f>VLOOKUP(A224,'Internet users, total (% of pop'!B222:C433,2,0)</f>
        <v>#N/A</v>
      </c>
      <c r="F224" t="e">
        <f>VLOOKUP(B224,'Income Index'!B222:C429,2,0)</f>
        <v>#N/A</v>
      </c>
      <c r="G224" t="e">
        <f>VLOOKUP(A224,'Human Development Index (HDI)	'!B222:C427,2,0)</f>
        <v>#N/A</v>
      </c>
      <c r="H224" t="e">
        <f>VLOOKUP(B224,'Government expenditure on educa'!B222:C430,2,0)</f>
        <v>#N/A</v>
      </c>
      <c r="I224" t="e">
        <f>VLOOKUP(B224,'GDP per capita (2017 PPP $)'!B222:C430,2,0)</f>
        <v>#N/A</v>
      </c>
      <c r="J224" t="e">
        <f>VLOOKUP(B224,'Forest area (% of total land ar'!B222:C432,2,0)</f>
        <v>#N/A</v>
      </c>
      <c r="L224" t="s">
        <v>44</v>
      </c>
      <c r="M224">
        <v>3</v>
      </c>
      <c r="N224">
        <v>0.98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 t="s">
        <v>220</v>
      </c>
    </row>
    <row r="225" spans="1:23" x14ac:dyDescent="0.35">
      <c r="A225" t="s">
        <v>248</v>
      </c>
      <c r="B225" t="str">
        <f t="shared" si="3"/>
        <v>Samoa</v>
      </c>
      <c r="C225" t="e">
        <f>VLOOKUP(B225,'Literacy Rate'!B223:C430,2,0)</f>
        <v>#N/A</v>
      </c>
      <c r="D225" t="e">
        <f>VLOOKUP(B225,'Life expectancy index'!B223:C430,2,0)</f>
        <v>#N/A</v>
      </c>
      <c r="E225" t="e">
        <f>VLOOKUP(A225,'Internet users, total (% of pop'!B223:C434,2,0)</f>
        <v>#N/A</v>
      </c>
      <c r="F225" t="e">
        <f>VLOOKUP(B225,'Income Index'!B223:C430,2,0)</f>
        <v>#N/A</v>
      </c>
      <c r="G225" t="e">
        <f>VLOOKUP(A225,'Human Development Index (HDI)	'!B223:C428,2,0)</f>
        <v>#N/A</v>
      </c>
      <c r="H225" t="e">
        <f>VLOOKUP(B225,'Government expenditure on educa'!B223:C431,2,0)</f>
        <v>#N/A</v>
      </c>
      <c r="I225" t="e">
        <f>VLOOKUP(B225,'GDP per capita (2017 PPP $)'!B223:C431,2,0)</f>
        <v>#N/A</v>
      </c>
      <c r="J225" t="e">
        <f>VLOOKUP(B225,'Forest area (% of total land ar'!B223:C433,2,0)</f>
        <v>#N/A</v>
      </c>
      <c r="L225" t="s">
        <v>44</v>
      </c>
      <c r="M225">
        <v>1</v>
      </c>
      <c r="N225">
        <v>0.5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 t="s">
        <v>220</v>
      </c>
    </row>
    <row r="226" spans="1:23" x14ac:dyDescent="0.35">
      <c r="A226" t="s">
        <v>249</v>
      </c>
      <c r="B226" t="str">
        <f t="shared" si="3"/>
        <v>American Samoa</v>
      </c>
      <c r="C226" t="e">
        <f>VLOOKUP(B226,'Literacy Rate'!B224:C431,2,0)</f>
        <v>#N/A</v>
      </c>
      <c r="D226" t="e">
        <f>VLOOKUP(B226,'Life expectancy index'!B224:C431,2,0)</f>
        <v>#N/A</v>
      </c>
      <c r="E226" t="e">
        <f>VLOOKUP(A226,'Internet users, total (% of pop'!B224:C435,2,0)</f>
        <v>#N/A</v>
      </c>
      <c r="F226" t="e">
        <f>VLOOKUP(B226,'Income Index'!B224:C431,2,0)</f>
        <v>#N/A</v>
      </c>
      <c r="G226" t="e">
        <f>VLOOKUP(A226,'Human Development Index (HDI)	'!B224:C429,2,0)</f>
        <v>#N/A</v>
      </c>
      <c r="H226" t="e">
        <f>VLOOKUP(B226,'Government expenditure on educa'!B224:C432,2,0)</f>
        <v>#N/A</v>
      </c>
      <c r="I226" t="e">
        <f>VLOOKUP(B226,'GDP per capita (2017 PPP $)'!B224:C432,2,0)</f>
        <v>#N/A</v>
      </c>
      <c r="J226" t="e">
        <f>VLOOKUP(B226,'Forest area (% of total land ar'!B224:C434,2,0)</f>
        <v>#N/A</v>
      </c>
      <c r="L226" t="s">
        <v>44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 t="s">
        <v>220</v>
      </c>
    </row>
    <row r="227" spans="1:23" x14ac:dyDescent="0.35">
      <c r="A227" t="s">
        <v>250</v>
      </c>
      <c r="B227" t="str">
        <f t="shared" si="3"/>
        <v>Cook Islands</v>
      </c>
      <c r="C227" t="e">
        <f>VLOOKUP(B227,'Literacy Rate'!B225:C432,2,0)</f>
        <v>#N/A</v>
      </c>
      <c r="D227" t="e">
        <f>VLOOKUP(B227,'Life expectancy index'!B225:C432,2,0)</f>
        <v>#N/A</v>
      </c>
      <c r="E227" t="e">
        <f>VLOOKUP(A227,'Internet users, total (% of pop'!B225:C436,2,0)</f>
        <v>#N/A</v>
      </c>
      <c r="F227" t="e">
        <f>VLOOKUP(B227,'Income Index'!B225:C432,2,0)</f>
        <v>#N/A</v>
      </c>
      <c r="G227" t="e">
        <f>VLOOKUP(A227,'Human Development Index (HDI)	'!B225:C430,2,0)</f>
        <v>#N/A</v>
      </c>
      <c r="H227" t="e">
        <f>VLOOKUP(B227,'Government expenditure on educa'!B225:C433,2,0)</f>
        <v>#N/A</v>
      </c>
      <c r="I227" t="e">
        <f>VLOOKUP(B227,'GDP per capita (2017 PPP $)'!B225:C433,2,0)</f>
        <v>#N/A</v>
      </c>
      <c r="J227" t="e">
        <f>VLOOKUP(B227,'Forest area (% of total land ar'!B225:C435,2,0)</f>
        <v>#N/A</v>
      </c>
      <c r="L227" t="s">
        <v>44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 t="s">
        <v>220</v>
      </c>
    </row>
    <row r="228" spans="1:23" x14ac:dyDescent="0.35">
      <c r="A228" t="s">
        <v>251</v>
      </c>
      <c r="B228" t="str">
        <f t="shared" si="3"/>
        <v>Democratic People's Republic of Korea</v>
      </c>
      <c r="C228" t="e">
        <f>VLOOKUP(B228,'Literacy Rate'!B226:C433,2,0)</f>
        <v>#N/A</v>
      </c>
      <c r="D228" t="e">
        <f>VLOOKUP(B228,'Life expectancy index'!B226:C433,2,0)</f>
        <v>#N/A</v>
      </c>
      <c r="E228" t="e">
        <f>VLOOKUP(A228,'Internet users, total (% of pop'!B226:C437,2,0)</f>
        <v>#N/A</v>
      </c>
      <c r="F228" t="e">
        <f>VLOOKUP(B228,'Income Index'!B226:C433,2,0)</f>
        <v>#N/A</v>
      </c>
      <c r="G228" t="e">
        <f>VLOOKUP(A228,'Human Development Index (HDI)	'!B226:C431,2,0)</f>
        <v>#N/A</v>
      </c>
      <c r="H228" t="e">
        <f>VLOOKUP(B228,'Government expenditure on educa'!B226:C434,2,0)</f>
        <v>#N/A</v>
      </c>
      <c r="I228" t="e">
        <f>VLOOKUP(B228,'GDP per capita (2017 PPP $)'!B226:C434,2,0)</f>
        <v>#N/A</v>
      </c>
      <c r="J228" t="e">
        <f>VLOOKUP(B228,'Forest area (% of total land ar'!B226:C436,2,0)</f>
        <v>#N/A</v>
      </c>
      <c r="L228" t="s">
        <v>18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 t="s">
        <v>220</v>
      </c>
    </row>
    <row r="229" spans="1:23" x14ac:dyDescent="0.35">
      <c r="A229" t="s">
        <v>252</v>
      </c>
      <c r="B229" t="str">
        <f t="shared" si="3"/>
        <v>Kiribati</v>
      </c>
      <c r="C229" t="e">
        <f>VLOOKUP(B229,'Literacy Rate'!B227:C434,2,0)</f>
        <v>#N/A</v>
      </c>
      <c r="D229" t="e">
        <f>VLOOKUP(B229,'Life expectancy index'!B227:C434,2,0)</f>
        <v>#N/A</v>
      </c>
      <c r="E229" t="e">
        <f>VLOOKUP(A229,'Internet users, total (% of pop'!B227:C438,2,0)</f>
        <v>#N/A</v>
      </c>
      <c r="F229" t="e">
        <f>VLOOKUP(B229,'Income Index'!B227:C434,2,0)</f>
        <v>#N/A</v>
      </c>
      <c r="G229" t="e">
        <f>VLOOKUP(A229,'Human Development Index (HDI)	'!B227:C432,2,0)</f>
        <v>#N/A</v>
      </c>
      <c r="H229" t="e">
        <f>VLOOKUP(B229,'Government expenditure on educa'!B227:C435,2,0)</f>
        <v>#N/A</v>
      </c>
      <c r="I229" t="e">
        <f>VLOOKUP(B229,'GDP per capita (2017 PPP $)'!B227:C435,2,0)</f>
        <v>#N/A</v>
      </c>
      <c r="J229" t="e">
        <f>VLOOKUP(B229,'Forest area (% of total land ar'!B227:C437,2,0)</f>
        <v>#N/A</v>
      </c>
      <c r="L229" t="s">
        <v>44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 t="s">
        <v>220</v>
      </c>
    </row>
    <row r="230" spans="1:23" x14ac:dyDescent="0.35">
      <c r="A230" t="s">
        <v>253</v>
      </c>
      <c r="B230" t="str">
        <f t="shared" si="3"/>
        <v>Micronesia (Federated States of)</v>
      </c>
      <c r="C230" t="e">
        <f>VLOOKUP(B230,'Literacy Rate'!B228:C435,2,0)</f>
        <v>#N/A</v>
      </c>
      <c r="D230" t="e">
        <f>VLOOKUP(B230,'Life expectancy index'!B228:C435,2,0)</f>
        <v>#N/A</v>
      </c>
      <c r="E230" t="e">
        <f>VLOOKUP(A230,'Internet users, total (% of pop'!B228:C439,2,0)</f>
        <v>#N/A</v>
      </c>
      <c r="F230" t="e">
        <f>VLOOKUP(B230,'Income Index'!B228:C435,2,0)</f>
        <v>#N/A</v>
      </c>
      <c r="G230" t="e">
        <f>VLOOKUP(A230,'Human Development Index (HDI)	'!B228:C433,2,0)</f>
        <v>#N/A</v>
      </c>
      <c r="H230" t="e">
        <f>VLOOKUP(B230,'Government expenditure on educa'!B228:C436,2,0)</f>
        <v>#N/A</v>
      </c>
      <c r="I230" t="e">
        <f>VLOOKUP(B230,'GDP per capita (2017 PPP $)'!B228:C436,2,0)</f>
        <v>#N/A</v>
      </c>
      <c r="J230" t="e">
        <f>VLOOKUP(B230,'Forest area (% of total land ar'!B228:C438,2,0)</f>
        <v>#N/A</v>
      </c>
      <c r="L230" t="s">
        <v>44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 t="s">
        <v>220</v>
      </c>
    </row>
    <row r="231" spans="1:23" x14ac:dyDescent="0.35">
      <c r="A231" t="s">
        <v>254</v>
      </c>
      <c r="B231" t="str">
        <f t="shared" si="3"/>
        <v>Nauru</v>
      </c>
      <c r="C231" t="e">
        <f>VLOOKUP(B231,'Literacy Rate'!B229:C436,2,0)</f>
        <v>#N/A</v>
      </c>
      <c r="D231" t="e">
        <f>VLOOKUP(B231,'Life expectancy index'!B229:C436,2,0)</f>
        <v>#N/A</v>
      </c>
      <c r="E231" t="e">
        <f>VLOOKUP(A231,'Internet users, total (% of pop'!B229:C440,2,0)</f>
        <v>#N/A</v>
      </c>
      <c r="F231" t="e">
        <f>VLOOKUP(B231,'Income Index'!B229:C436,2,0)</f>
        <v>#N/A</v>
      </c>
      <c r="G231" t="e">
        <f>VLOOKUP(A231,'Human Development Index (HDI)	'!B229:C434,2,0)</f>
        <v>#N/A</v>
      </c>
      <c r="H231" t="e">
        <f>VLOOKUP(B231,'Government expenditure on educa'!B229:C437,2,0)</f>
        <v>#N/A</v>
      </c>
      <c r="I231" t="e">
        <f>VLOOKUP(B231,'GDP per capita (2017 PPP $)'!B229:C437,2,0)</f>
        <v>#N/A</v>
      </c>
      <c r="J231" t="e">
        <f>VLOOKUP(B231,'Forest area (% of total land ar'!B229:C439,2,0)</f>
        <v>#N/A</v>
      </c>
      <c r="L231" t="s">
        <v>44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 t="s">
        <v>220</v>
      </c>
    </row>
    <row r="232" spans="1:23" x14ac:dyDescent="0.35">
      <c r="A232" t="s">
        <v>255</v>
      </c>
      <c r="B232" t="str">
        <f t="shared" si="3"/>
        <v>Niue</v>
      </c>
      <c r="C232" t="e">
        <f>VLOOKUP(B232,'Literacy Rate'!B230:C437,2,0)</f>
        <v>#N/A</v>
      </c>
      <c r="D232" t="e">
        <f>VLOOKUP(B232,'Life expectancy index'!B230:C437,2,0)</f>
        <v>#N/A</v>
      </c>
      <c r="E232" t="e">
        <f>VLOOKUP(A232,'Internet users, total (% of pop'!B230:C441,2,0)</f>
        <v>#N/A</v>
      </c>
      <c r="F232" t="e">
        <f>VLOOKUP(B232,'Income Index'!B230:C437,2,0)</f>
        <v>#N/A</v>
      </c>
      <c r="G232" t="e">
        <f>VLOOKUP(A232,'Human Development Index (HDI)	'!B230:C435,2,0)</f>
        <v>#N/A</v>
      </c>
      <c r="H232" t="e">
        <f>VLOOKUP(B232,'Government expenditure on educa'!B230:C438,2,0)</f>
        <v>#N/A</v>
      </c>
      <c r="I232" t="e">
        <f>VLOOKUP(B232,'GDP per capita (2017 PPP $)'!B230:C438,2,0)</f>
        <v>#N/A</v>
      </c>
      <c r="J232" t="e">
        <f>VLOOKUP(B232,'Forest area (% of total land ar'!B230:C440,2,0)</f>
        <v>#N/A</v>
      </c>
      <c r="L232" t="s">
        <v>44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 t="s">
        <v>220</v>
      </c>
    </row>
    <row r="233" spans="1:23" x14ac:dyDescent="0.35">
      <c r="A233" t="s">
        <v>256</v>
      </c>
      <c r="B233" t="str">
        <f t="shared" si="3"/>
        <v>Palau</v>
      </c>
      <c r="C233" t="e">
        <f>VLOOKUP(B233,'Literacy Rate'!B231:C438,2,0)</f>
        <v>#N/A</v>
      </c>
      <c r="D233" t="e">
        <f>VLOOKUP(B233,'Life expectancy index'!B231:C438,2,0)</f>
        <v>#N/A</v>
      </c>
      <c r="E233" t="e">
        <f>VLOOKUP(A233,'Internet users, total (% of pop'!B231:C442,2,0)</f>
        <v>#N/A</v>
      </c>
      <c r="F233" t="e">
        <f>VLOOKUP(B233,'Income Index'!B231:C438,2,0)</f>
        <v>#N/A</v>
      </c>
      <c r="G233" t="e">
        <f>VLOOKUP(A233,'Human Development Index (HDI)	'!B231:C436,2,0)</f>
        <v>#N/A</v>
      </c>
      <c r="H233" t="e">
        <f>VLOOKUP(B233,'Government expenditure on educa'!B231:C439,2,0)</f>
        <v>#N/A</v>
      </c>
      <c r="I233" t="e">
        <f>VLOOKUP(B233,'GDP per capita (2017 PPP $)'!B231:C439,2,0)</f>
        <v>#N/A</v>
      </c>
      <c r="J233" t="e">
        <f>VLOOKUP(B233,'Forest area (% of total land ar'!B231:C441,2,0)</f>
        <v>#N/A</v>
      </c>
      <c r="L233" t="s">
        <v>44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 t="s">
        <v>220</v>
      </c>
    </row>
    <row r="234" spans="1:23" x14ac:dyDescent="0.35">
      <c r="A234" t="s">
        <v>257</v>
      </c>
      <c r="B234" t="str">
        <f t="shared" si="3"/>
        <v>Pitcairn Islands</v>
      </c>
      <c r="C234" t="e">
        <f>VLOOKUP(B234,'Literacy Rate'!B232:C439,2,0)</f>
        <v>#N/A</v>
      </c>
      <c r="D234" t="e">
        <f>VLOOKUP(B234,'Life expectancy index'!B232:C439,2,0)</f>
        <v>#N/A</v>
      </c>
      <c r="E234" t="e">
        <f>VLOOKUP(A234,'Internet users, total (% of pop'!B232:C443,2,0)</f>
        <v>#N/A</v>
      </c>
      <c r="F234" t="e">
        <f>VLOOKUP(B234,'Income Index'!B232:C439,2,0)</f>
        <v>#N/A</v>
      </c>
      <c r="G234" t="e">
        <f>VLOOKUP(A234,'Human Development Index (HDI)	'!B232:C437,2,0)</f>
        <v>#N/A</v>
      </c>
      <c r="H234" t="e">
        <f>VLOOKUP(B234,'Government expenditure on educa'!B232:C440,2,0)</f>
        <v>#N/A</v>
      </c>
      <c r="I234" t="e">
        <f>VLOOKUP(B234,'GDP per capita (2017 PPP $)'!B232:C440,2,0)</f>
        <v>#N/A</v>
      </c>
      <c r="J234" t="e">
        <f>VLOOKUP(B234,'Forest area (% of total land ar'!B232:C442,2,0)</f>
        <v>#N/A</v>
      </c>
      <c r="L234" t="s">
        <v>44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 t="s">
        <v>220</v>
      </c>
    </row>
    <row r="235" spans="1:23" x14ac:dyDescent="0.35">
      <c r="A235" t="s">
        <v>258</v>
      </c>
      <c r="B235" t="str">
        <f t="shared" si="3"/>
        <v>Saint Helena</v>
      </c>
      <c r="C235" t="e">
        <f>VLOOKUP(B235,'Literacy Rate'!B233:C440,2,0)</f>
        <v>#N/A</v>
      </c>
      <c r="D235" t="e">
        <f>VLOOKUP(B235,'Life expectancy index'!B233:C440,2,0)</f>
        <v>#N/A</v>
      </c>
      <c r="E235" t="e">
        <f>VLOOKUP(A235,'Internet users, total (% of pop'!B233:C444,2,0)</f>
        <v>#N/A</v>
      </c>
      <c r="F235" t="e">
        <f>VLOOKUP(B235,'Income Index'!B233:C440,2,0)</f>
        <v>#N/A</v>
      </c>
      <c r="G235" t="e">
        <f>VLOOKUP(A235,'Human Development Index (HDI)	'!B233:C438,2,0)</f>
        <v>#N/A</v>
      </c>
      <c r="H235" t="e">
        <f>VLOOKUP(B235,'Government expenditure on educa'!B233:C441,2,0)</f>
        <v>#N/A</v>
      </c>
      <c r="I235" t="e">
        <f>VLOOKUP(B235,'GDP per capita (2017 PPP $)'!B233:C441,2,0)</f>
        <v>#N/A</v>
      </c>
      <c r="J235" t="e">
        <f>VLOOKUP(B235,'Forest area (% of total land ar'!B233:C443,2,0)</f>
        <v>#N/A</v>
      </c>
      <c r="L235" t="s">
        <v>39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 t="s">
        <v>220</v>
      </c>
    </row>
    <row r="236" spans="1:23" x14ac:dyDescent="0.35">
      <c r="A236" t="s">
        <v>259</v>
      </c>
      <c r="B236" t="str">
        <f t="shared" si="3"/>
        <v>Tokelau</v>
      </c>
      <c r="C236" t="e">
        <f>VLOOKUP(B236,'Literacy Rate'!B234:C441,2,0)</f>
        <v>#N/A</v>
      </c>
      <c r="D236" t="e">
        <f>VLOOKUP(B236,'Life expectancy index'!B234:C441,2,0)</f>
        <v>#N/A</v>
      </c>
      <c r="E236" t="e">
        <f>VLOOKUP(A236,'Internet users, total (% of pop'!B234:C445,2,0)</f>
        <v>#N/A</v>
      </c>
      <c r="F236" t="e">
        <f>VLOOKUP(B236,'Income Index'!B234:C441,2,0)</f>
        <v>#N/A</v>
      </c>
      <c r="G236" t="e">
        <f>VLOOKUP(A236,'Human Development Index (HDI)	'!B234:C439,2,0)</f>
        <v>#N/A</v>
      </c>
      <c r="H236" t="e">
        <f>VLOOKUP(B236,'Government expenditure on educa'!B234:C442,2,0)</f>
        <v>#N/A</v>
      </c>
      <c r="I236" t="e">
        <f>VLOOKUP(B236,'GDP per capita (2017 PPP $)'!B234:C442,2,0)</f>
        <v>#N/A</v>
      </c>
      <c r="J236" t="e">
        <f>VLOOKUP(B236,'Forest area (% of total land ar'!B234:C444,2,0)</f>
        <v>#N/A</v>
      </c>
      <c r="L236" t="s">
        <v>44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 t="s">
        <v>220</v>
      </c>
    </row>
    <row r="237" spans="1:23" x14ac:dyDescent="0.35">
      <c r="A237" t="s">
        <v>260</v>
      </c>
      <c r="B237" t="str">
        <f t="shared" si="3"/>
        <v>Tonga</v>
      </c>
      <c r="C237" t="e">
        <f>VLOOKUP(B237,'Literacy Rate'!B235:C442,2,0)</f>
        <v>#N/A</v>
      </c>
      <c r="D237" t="e">
        <f>VLOOKUP(B237,'Life expectancy index'!B235:C442,2,0)</f>
        <v>#N/A</v>
      </c>
      <c r="E237" t="e">
        <f>VLOOKUP(A237,'Internet users, total (% of pop'!B235:C446,2,0)</f>
        <v>#N/A</v>
      </c>
      <c r="F237" t="e">
        <f>VLOOKUP(B237,'Income Index'!B235:C442,2,0)</f>
        <v>#N/A</v>
      </c>
      <c r="G237" t="e">
        <f>VLOOKUP(A237,'Human Development Index (HDI)	'!B235:C440,2,0)</f>
        <v>#N/A</v>
      </c>
      <c r="H237" t="e">
        <f>VLOOKUP(B237,'Government expenditure on educa'!B235:C443,2,0)</f>
        <v>#N/A</v>
      </c>
      <c r="I237" t="e">
        <f>VLOOKUP(B237,'GDP per capita (2017 PPP $)'!B235:C443,2,0)</f>
        <v>#N/A</v>
      </c>
      <c r="J237" t="e">
        <f>VLOOKUP(B237,'Forest area (% of total land ar'!B235:C445,2,0)</f>
        <v>#N/A</v>
      </c>
      <c r="L237" t="s">
        <v>44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 t="s">
        <v>220</v>
      </c>
    </row>
    <row r="238" spans="1:23" x14ac:dyDescent="0.35">
      <c r="A238" t="s">
        <v>261</v>
      </c>
      <c r="B238" t="str">
        <f t="shared" si="3"/>
        <v>Turkmenistan</v>
      </c>
      <c r="C238" t="e">
        <f>VLOOKUP(B238,'Literacy Rate'!B236:C443,2,0)</f>
        <v>#N/A</v>
      </c>
      <c r="D238" t="e">
        <f>VLOOKUP(B238,'Life expectancy index'!B236:C443,2,0)</f>
        <v>#N/A</v>
      </c>
      <c r="E238" t="e">
        <f>VLOOKUP(A238,'Internet users, total (% of pop'!B236:C447,2,0)</f>
        <v>#N/A</v>
      </c>
      <c r="F238" t="e">
        <f>VLOOKUP(B238,'Income Index'!B236:C443,2,0)</f>
        <v>#N/A</v>
      </c>
      <c r="G238" t="e">
        <f>VLOOKUP(A238,'Human Development Index (HDI)	'!B236:C441,2,0)</f>
        <v>#N/A</v>
      </c>
      <c r="H238" t="e">
        <f>VLOOKUP(B238,'Government expenditure on educa'!B236:C444,2,0)</f>
        <v>#N/A</v>
      </c>
      <c r="I238" t="e">
        <f>VLOOKUP(B238,'GDP per capita (2017 PPP $)'!B236:C444,2,0)</f>
        <v>#N/A</v>
      </c>
      <c r="J238" t="e">
        <f>VLOOKUP(B238,'Forest area (% of total land ar'!B236:C446,2,0)</f>
        <v>#N/A</v>
      </c>
      <c r="L238" t="s">
        <v>22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 t="s">
        <v>220</v>
      </c>
    </row>
    <row r="239" spans="1:23" x14ac:dyDescent="0.35">
      <c r="A239" t="s">
        <v>262</v>
      </c>
      <c r="B239" t="str">
        <f t="shared" si="3"/>
        <v>Tuvalu</v>
      </c>
      <c r="C239" t="e">
        <f>VLOOKUP(B239,'Literacy Rate'!B237:C444,2,0)</f>
        <v>#N/A</v>
      </c>
      <c r="D239" t="e">
        <f>VLOOKUP(B239,'Life expectancy index'!B237:C444,2,0)</f>
        <v>#N/A</v>
      </c>
      <c r="E239" t="e">
        <f>VLOOKUP(A239,'Internet users, total (% of pop'!B237:C448,2,0)</f>
        <v>#N/A</v>
      </c>
      <c r="F239" t="e">
        <f>VLOOKUP(B239,'Income Index'!B237:C444,2,0)</f>
        <v>#N/A</v>
      </c>
      <c r="G239" t="e">
        <f>VLOOKUP(A239,'Human Development Index (HDI)	'!B237:C442,2,0)</f>
        <v>#N/A</v>
      </c>
      <c r="H239" t="e">
        <f>VLOOKUP(B239,'Government expenditure on educa'!B237:C445,2,0)</f>
        <v>#N/A</v>
      </c>
      <c r="I239" t="e">
        <f>VLOOKUP(B239,'GDP per capita (2017 PPP $)'!B237:C445,2,0)</f>
        <v>#N/A</v>
      </c>
      <c r="J239" t="e">
        <f>VLOOKUP(B239,'Forest area (% of total land ar'!B237:C447,2,0)</f>
        <v>#N/A</v>
      </c>
      <c r="L239" t="s">
        <v>44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 t="s">
        <v>220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1"/>
  <sheetViews>
    <sheetView topLeftCell="A32" workbookViewId="0">
      <selection activeCell="C41" sqref="C41:C42"/>
    </sheetView>
  </sheetViews>
  <sheetFormatPr defaultRowHeight="14.5" x14ac:dyDescent="0.35"/>
  <cols>
    <col min="1" max="1" width="30.26953125" customWidth="1"/>
    <col min="2" max="2" width="54.90625" customWidth="1"/>
  </cols>
  <sheetData>
    <row r="1" spans="1:3" x14ac:dyDescent="0.35">
      <c r="A1" t="s">
        <v>263</v>
      </c>
      <c r="B1" t="str">
        <f>TRIM(A1)</f>
        <v>Afghanistan</v>
      </c>
      <c r="C1">
        <v>2.1</v>
      </c>
    </row>
    <row r="2" spans="1:3" x14ac:dyDescent="0.35">
      <c r="A2" t="s">
        <v>264</v>
      </c>
      <c r="B2" t="str">
        <f t="shared" ref="B2:B65" si="0">TRIM(A2)</f>
        <v>Albania</v>
      </c>
      <c r="C2">
        <v>28.1</v>
      </c>
    </row>
    <row r="3" spans="1:3" x14ac:dyDescent="0.35">
      <c r="A3" t="s">
        <v>265</v>
      </c>
      <c r="B3" t="str">
        <f t="shared" si="0"/>
        <v>Algeria</v>
      </c>
      <c r="C3">
        <v>0.8</v>
      </c>
    </row>
    <row r="4" spans="1:3" x14ac:dyDescent="0.35">
      <c r="A4" t="s">
        <v>416</v>
      </c>
      <c r="B4" t="str">
        <f t="shared" si="0"/>
        <v>Andorra</v>
      </c>
      <c r="C4">
        <v>34</v>
      </c>
    </row>
    <row r="5" spans="1:3" x14ac:dyDescent="0.35">
      <c r="A5" t="s">
        <v>266</v>
      </c>
      <c r="B5" t="str">
        <f t="shared" si="0"/>
        <v>Angola</v>
      </c>
      <c r="C5">
        <v>46.3</v>
      </c>
    </row>
    <row r="6" spans="1:3" x14ac:dyDescent="0.35">
      <c r="A6" t="s">
        <v>267</v>
      </c>
      <c r="B6" t="str">
        <f t="shared" si="0"/>
        <v>Antigua and Barbuda</v>
      </c>
      <c r="C6">
        <v>22.3</v>
      </c>
    </row>
    <row r="7" spans="1:3" x14ac:dyDescent="0.35">
      <c r="A7" t="s">
        <v>268</v>
      </c>
      <c r="B7" t="str">
        <f t="shared" si="0"/>
        <v>Argentina</v>
      </c>
      <c r="C7">
        <v>9.8000000000000007</v>
      </c>
    </row>
    <row r="8" spans="1:3" x14ac:dyDescent="0.35">
      <c r="A8" t="s">
        <v>269</v>
      </c>
      <c r="B8" t="str">
        <f t="shared" si="0"/>
        <v>Armenia</v>
      </c>
      <c r="C8">
        <v>11.7</v>
      </c>
    </row>
    <row r="9" spans="1:3" x14ac:dyDescent="0.35">
      <c r="A9" t="s">
        <v>417</v>
      </c>
      <c r="B9" t="str">
        <f t="shared" si="0"/>
        <v>Australia</v>
      </c>
      <c r="C9">
        <v>16.3</v>
      </c>
    </row>
    <row r="10" spans="1:3" x14ac:dyDescent="0.35">
      <c r="A10" t="s">
        <v>418</v>
      </c>
      <c r="B10" t="str">
        <f t="shared" si="0"/>
        <v>Austria</v>
      </c>
      <c r="C10">
        <v>46.9</v>
      </c>
    </row>
    <row r="11" spans="1:3" x14ac:dyDescent="0.35">
      <c r="A11" t="s">
        <v>270</v>
      </c>
      <c r="B11" t="str">
        <f t="shared" si="0"/>
        <v>Azerbaijan</v>
      </c>
      <c r="C11">
        <v>14.1</v>
      </c>
    </row>
    <row r="12" spans="1:3" x14ac:dyDescent="0.35">
      <c r="A12" t="s">
        <v>420</v>
      </c>
      <c r="B12" t="str">
        <f t="shared" si="0"/>
        <v>Bahamas</v>
      </c>
      <c r="C12">
        <v>51.4</v>
      </c>
    </row>
    <row r="13" spans="1:3" x14ac:dyDescent="0.35">
      <c r="A13" t="s">
        <v>271</v>
      </c>
      <c r="B13" t="str">
        <f t="shared" si="0"/>
        <v>Bahrain</v>
      </c>
      <c r="C13">
        <v>0.8</v>
      </c>
    </row>
    <row r="14" spans="1:3" x14ac:dyDescent="0.35">
      <c r="A14" t="s">
        <v>272</v>
      </c>
      <c r="B14" t="str">
        <f t="shared" si="0"/>
        <v>Bangladesh</v>
      </c>
      <c r="C14">
        <v>11</v>
      </c>
    </row>
    <row r="15" spans="1:3" x14ac:dyDescent="0.35">
      <c r="A15" t="s">
        <v>273</v>
      </c>
      <c r="B15" t="str">
        <f t="shared" si="0"/>
        <v>Barbados</v>
      </c>
      <c r="C15">
        <v>14.7</v>
      </c>
    </row>
    <row r="16" spans="1:3" x14ac:dyDescent="0.35">
      <c r="A16" t="s">
        <v>274</v>
      </c>
      <c r="B16" t="str">
        <f t="shared" si="0"/>
        <v>Belarus</v>
      </c>
      <c r="C16">
        <v>42.6</v>
      </c>
    </row>
    <row r="17" spans="1:3" x14ac:dyDescent="0.35">
      <c r="A17" t="s">
        <v>419</v>
      </c>
      <c r="B17" t="str">
        <f t="shared" si="0"/>
        <v>Belgium</v>
      </c>
      <c r="C17">
        <v>22.6</v>
      </c>
    </row>
    <row r="18" spans="1:3" x14ac:dyDescent="0.35">
      <c r="A18" t="s">
        <v>421</v>
      </c>
      <c r="B18" t="str">
        <f t="shared" si="0"/>
        <v>Belize</v>
      </c>
      <c r="C18">
        <v>59.7</v>
      </c>
    </row>
    <row r="19" spans="1:3" x14ac:dyDescent="0.35">
      <c r="A19" t="s">
        <v>275</v>
      </c>
      <c r="B19" t="str">
        <f t="shared" si="0"/>
        <v>Benin</v>
      </c>
      <c r="C19">
        <v>37.799999999999997</v>
      </c>
    </row>
    <row r="20" spans="1:3" x14ac:dyDescent="0.35">
      <c r="A20" t="s">
        <v>276</v>
      </c>
      <c r="B20" t="str">
        <f t="shared" si="0"/>
        <v>Bhutan</v>
      </c>
      <c r="C20">
        <v>72.5</v>
      </c>
    </row>
    <row r="21" spans="1:3" x14ac:dyDescent="0.35">
      <c r="A21" t="s">
        <v>277</v>
      </c>
      <c r="B21" t="str">
        <f t="shared" si="0"/>
        <v>Bolivia (Plurinational State of)</v>
      </c>
      <c r="C21">
        <v>50.3</v>
      </c>
    </row>
    <row r="22" spans="1:3" x14ac:dyDescent="0.35">
      <c r="A22" t="s">
        <v>278</v>
      </c>
      <c r="B22" t="str">
        <f t="shared" si="0"/>
        <v>Bosnia and Herzegovina</v>
      </c>
      <c r="C22">
        <v>42.7</v>
      </c>
    </row>
    <row r="23" spans="1:3" x14ac:dyDescent="0.35">
      <c r="A23" t="s">
        <v>279</v>
      </c>
      <c r="B23" t="str">
        <f t="shared" si="0"/>
        <v>Botswana</v>
      </c>
      <c r="C23">
        <v>18.899999999999999</v>
      </c>
    </row>
    <row r="24" spans="1:3" x14ac:dyDescent="0.35">
      <c r="A24" t="s">
        <v>280</v>
      </c>
      <c r="B24" t="str">
        <f t="shared" si="0"/>
        <v>Brazil</v>
      </c>
      <c r="C24">
        <v>58.9</v>
      </c>
    </row>
    <row r="25" spans="1:3" x14ac:dyDescent="0.35">
      <c r="A25" t="s">
        <v>281</v>
      </c>
      <c r="B25" t="str">
        <f t="shared" si="0"/>
        <v>Brunei Darussalam</v>
      </c>
      <c r="C25">
        <v>72.099999999999994</v>
      </c>
    </row>
    <row r="26" spans="1:3" x14ac:dyDescent="0.35">
      <c r="A26" t="s">
        <v>282</v>
      </c>
      <c r="B26" t="str">
        <f t="shared" si="0"/>
        <v>Bulgaria</v>
      </c>
      <c r="C26">
        <v>35.4</v>
      </c>
    </row>
    <row r="27" spans="1:3" x14ac:dyDescent="0.35">
      <c r="A27" t="s">
        <v>283</v>
      </c>
      <c r="B27" t="str">
        <f t="shared" si="0"/>
        <v>Burkina Faso</v>
      </c>
      <c r="C27">
        <v>19.3</v>
      </c>
    </row>
    <row r="28" spans="1:3" x14ac:dyDescent="0.35">
      <c r="A28" t="s">
        <v>284</v>
      </c>
      <c r="B28" t="str">
        <f t="shared" si="0"/>
        <v>Burundi</v>
      </c>
      <c r="C28">
        <v>10.9</v>
      </c>
    </row>
    <row r="29" spans="1:3" x14ac:dyDescent="0.35">
      <c r="A29" t="s">
        <v>285</v>
      </c>
      <c r="B29" t="str">
        <f t="shared" si="0"/>
        <v>Cabo Verde</v>
      </c>
      <c r="C29">
        <v>22.5</v>
      </c>
    </row>
    <row r="30" spans="1:3" x14ac:dyDescent="0.35">
      <c r="A30" t="s">
        <v>286</v>
      </c>
      <c r="B30" t="str">
        <f t="shared" si="0"/>
        <v>Cambodia</v>
      </c>
      <c r="C30">
        <v>52.9</v>
      </c>
    </row>
    <row r="31" spans="1:3" x14ac:dyDescent="0.35">
      <c r="A31" t="s">
        <v>287</v>
      </c>
      <c r="B31" t="str">
        <f t="shared" si="0"/>
        <v>Cameroon</v>
      </c>
      <c r="C31">
        <v>39.299999999999997</v>
      </c>
    </row>
    <row r="32" spans="1:3" x14ac:dyDescent="0.35">
      <c r="A32" t="s">
        <v>422</v>
      </c>
      <c r="B32" t="str">
        <f t="shared" si="0"/>
        <v>Canada</v>
      </c>
      <c r="C32">
        <v>38.200000000000003</v>
      </c>
    </row>
    <row r="33" spans="1:3" x14ac:dyDescent="0.35">
      <c r="A33" t="s">
        <v>288</v>
      </c>
      <c r="B33" t="str">
        <f t="shared" si="0"/>
        <v>Central African Republic</v>
      </c>
      <c r="C33">
        <v>35.6</v>
      </c>
    </row>
    <row r="34" spans="1:3" x14ac:dyDescent="0.35">
      <c r="A34" t="s">
        <v>289</v>
      </c>
      <c r="B34" t="str">
        <f t="shared" si="0"/>
        <v>Chad</v>
      </c>
      <c r="C34">
        <v>3.8</v>
      </c>
    </row>
    <row r="35" spans="1:3" x14ac:dyDescent="0.35">
      <c r="A35" t="s">
        <v>290</v>
      </c>
      <c r="B35" t="str">
        <f t="shared" si="0"/>
        <v>Chile</v>
      </c>
      <c r="C35">
        <v>24.3</v>
      </c>
    </row>
    <row r="36" spans="1:3" x14ac:dyDescent="0.35">
      <c r="A36" t="s">
        <v>291</v>
      </c>
      <c r="B36" t="str">
        <f t="shared" si="0"/>
        <v>China</v>
      </c>
      <c r="C36">
        <v>22.4</v>
      </c>
    </row>
    <row r="37" spans="1:3" x14ac:dyDescent="0.35">
      <c r="A37" t="s">
        <v>292</v>
      </c>
      <c r="B37" t="str">
        <f t="shared" si="0"/>
        <v>Colombia</v>
      </c>
      <c r="C37">
        <v>52.7</v>
      </c>
    </row>
    <row r="38" spans="1:3" x14ac:dyDescent="0.35">
      <c r="A38" t="s">
        <v>293</v>
      </c>
      <c r="B38" t="str">
        <f t="shared" si="0"/>
        <v>Comoros</v>
      </c>
      <c r="C38">
        <v>19.7</v>
      </c>
    </row>
    <row r="39" spans="1:3" x14ac:dyDescent="0.35">
      <c r="A39" t="s">
        <v>294</v>
      </c>
      <c r="B39" t="str">
        <f t="shared" si="0"/>
        <v>Congo</v>
      </c>
      <c r="C39">
        <v>65.400000000000006</v>
      </c>
    </row>
    <row r="40" spans="1:3" x14ac:dyDescent="0.35">
      <c r="A40" t="s">
        <v>295</v>
      </c>
      <c r="B40" t="str">
        <f t="shared" si="0"/>
        <v>Congo (Democratic Republic of the)</v>
      </c>
      <c r="C40">
        <v>67.2</v>
      </c>
    </row>
    <row r="41" spans="1:3" x14ac:dyDescent="0.35">
      <c r="A41" t="s">
        <v>296</v>
      </c>
      <c r="B41" t="str">
        <f t="shared" si="0"/>
        <v>Costa Rica</v>
      </c>
      <c r="C41">
        <v>54.6</v>
      </c>
    </row>
    <row r="42" spans="1:3" x14ac:dyDescent="0.35">
      <c r="A42" t="s">
        <v>297</v>
      </c>
      <c r="B42" t="str">
        <f t="shared" si="0"/>
        <v>Croatia</v>
      </c>
      <c r="C42">
        <v>34.4</v>
      </c>
    </row>
    <row r="43" spans="1:3" x14ac:dyDescent="0.35">
      <c r="A43" t="s">
        <v>298</v>
      </c>
      <c r="B43" t="str">
        <f t="shared" si="0"/>
        <v>Cuba</v>
      </c>
      <c r="C43">
        <v>31.3</v>
      </c>
    </row>
    <row r="44" spans="1:3" x14ac:dyDescent="0.35">
      <c r="A44" t="s">
        <v>299</v>
      </c>
      <c r="B44" t="str">
        <f t="shared" si="0"/>
        <v>Cyprus</v>
      </c>
      <c r="C44">
        <v>18.7</v>
      </c>
    </row>
    <row r="45" spans="1:3" x14ac:dyDescent="0.35">
      <c r="A45" t="s">
        <v>424</v>
      </c>
      <c r="B45" t="str">
        <f t="shared" si="0"/>
        <v>Czechia</v>
      </c>
      <c r="C45">
        <v>34.6</v>
      </c>
    </row>
    <row r="46" spans="1:3" x14ac:dyDescent="0.35">
      <c r="A46" t="s">
        <v>300</v>
      </c>
      <c r="B46" t="str">
        <f t="shared" si="0"/>
        <v>Côte d'Ivoire</v>
      </c>
      <c r="C46">
        <v>32.700000000000003</v>
      </c>
    </row>
    <row r="47" spans="1:3" x14ac:dyDescent="0.35">
      <c r="A47" t="s">
        <v>428</v>
      </c>
      <c r="B47" t="str">
        <f t="shared" si="0"/>
        <v>Denmark</v>
      </c>
      <c r="C47">
        <v>14.7</v>
      </c>
    </row>
    <row r="48" spans="1:3" x14ac:dyDescent="0.35">
      <c r="A48" t="s">
        <v>426</v>
      </c>
      <c r="B48" t="str">
        <f t="shared" si="0"/>
        <v>Djibouti</v>
      </c>
      <c r="C48">
        <v>0.2</v>
      </c>
    </row>
    <row r="49" spans="1:3" x14ac:dyDescent="0.35">
      <c r="A49" t="s">
        <v>427</v>
      </c>
      <c r="B49" t="str">
        <f t="shared" si="0"/>
        <v>Dominica</v>
      </c>
      <c r="C49">
        <v>57.4</v>
      </c>
    </row>
    <row r="50" spans="1:3" x14ac:dyDescent="0.35">
      <c r="A50" t="s">
        <v>301</v>
      </c>
      <c r="B50" t="str">
        <f t="shared" si="0"/>
        <v>Dominican Republic</v>
      </c>
      <c r="C50">
        <v>41.7</v>
      </c>
    </row>
    <row r="51" spans="1:3" x14ac:dyDescent="0.35">
      <c r="A51" t="s">
        <v>302</v>
      </c>
      <c r="B51" t="str">
        <f t="shared" si="0"/>
        <v>Ecuador</v>
      </c>
      <c r="C51">
        <v>50.2</v>
      </c>
    </row>
    <row r="52" spans="1:3" x14ac:dyDescent="0.35">
      <c r="A52" t="s">
        <v>303</v>
      </c>
      <c r="B52" t="str">
        <f t="shared" si="0"/>
        <v>Egypt</v>
      </c>
      <c r="C52">
        <v>0.1</v>
      </c>
    </row>
    <row r="53" spans="1:3" x14ac:dyDescent="0.35">
      <c r="A53" t="s">
        <v>304</v>
      </c>
      <c r="B53" t="str">
        <f t="shared" si="0"/>
        <v>El Salvador</v>
      </c>
      <c r="C53">
        <v>12.6</v>
      </c>
    </row>
    <row r="54" spans="1:3" x14ac:dyDescent="0.35">
      <c r="A54" t="s">
        <v>305</v>
      </c>
      <c r="B54" t="str">
        <f t="shared" si="0"/>
        <v>Equatorial Guinea</v>
      </c>
      <c r="C54">
        <v>55.5</v>
      </c>
    </row>
    <row r="55" spans="1:3" x14ac:dyDescent="0.35">
      <c r="A55" t="s">
        <v>306</v>
      </c>
      <c r="B55" t="str">
        <f t="shared" si="0"/>
        <v>Eritrea</v>
      </c>
      <c r="C55">
        <v>14.9</v>
      </c>
    </row>
    <row r="56" spans="1:3" x14ac:dyDescent="0.35">
      <c r="A56" t="s">
        <v>307</v>
      </c>
      <c r="B56" t="str">
        <f t="shared" si="0"/>
        <v>Estonia</v>
      </c>
      <c r="C56">
        <v>51.3</v>
      </c>
    </row>
    <row r="57" spans="1:3" x14ac:dyDescent="0.35">
      <c r="A57" t="s">
        <v>308</v>
      </c>
      <c r="B57" t="str">
        <f t="shared" si="0"/>
        <v>Eswatini (Kingdom of)</v>
      </c>
      <c r="C57">
        <v>34.299999999999997</v>
      </c>
    </row>
    <row r="58" spans="1:3" x14ac:dyDescent="0.35">
      <c r="A58" t="s">
        <v>309</v>
      </c>
      <c r="B58" t="str">
        <f t="shared" si="0"/>
        <v>Ethiopia</v>
      </c>
      <c r="C58">
        <v>12.5</v>
      </c>
    </row>
    <row r="59" spans="1:3" x14ac:dyDescent="0.35">
      <c r="A59" t="s">
        <v>310</v>
      </c>
      <c r="B59" t="str">
        <f t="shared" si="0"/>
        <v>Fiji</v>
      </c>
      <c r="C59">
        <v>55.9</v>
      </c>
    </row>
    <row r="60" spans="1:3" x14ac:dyDescent="0.35">
      <c r="A60" t="s">
        <v>429</v>
      </c>
      <c r="B60" t="str">
        <f t="shared" si="0"/>
        <v>Finland</v>
      </c>
      <c r="C60">
        <v>73.099999999999994</v>
      </c>
    </row>
    <row r="61" spans="1:3" x14ac:dyDescent="0.35">
      <c r="A61" t="s">
        <v>430</v>
      </c>
      <c r="B61" t="str">
        <f t="shared" si="0"/>
        <v>France</v>
      </c>
      <c r="C61">
        <v>31.2</v>
      </c>
    </row>
    <row r="62" spans="1:3" x14ac:dyDescent="0.35">
      <c r="A62" t="s">
        <v>311</v>
      </c>
      <c r="B62" t="str">
        <f t="shared" si="0"/>
        <v>Gabon</v>
      </c>
      <c r="C62">
        <v>90</v>
      </c>
    </row>
    <row r="63" spans="1:3" x14ac:dyDescent="0.35">
      <c r="A63" t="s">
        <v>312</v>
      </c>
      <c r="B63" t="str">
        <f t="shared" si="0"/>
        <v>Gambia</v>
      </c>
      <c r="C63">
        <v>48.4</v>
      </c>
    </row>
    <row r="64" spans="1:3" x14ac:dyDescent="0.35">
      <c r="A64" t="s">
        <v>313</v>
      </c>
      <c r="B64" t="str">
        <f t="shared" si="0"/>
        <v>Georgia</v>
      </c>
      <c r="C64">
        <v>40.6</v>
      </c>
    </row>
    <row r="65" spans="1:3" x14ac:dyDescent="0.35">
      <c r="A65" t="s">
        <v>425</v>
      </c>
      <c r="B65" t="str">
        <f t="shared" si="0"/>
        <v>Germany</v>
      </c>
      <c r="C65">
        <v>32.700000000000003</v>
      </c>
    </row>
    <row r="66" spans="1:3" x14ac:dyDescent="0.35">
      <c r="A66" t="s">
        <v>314</v>
      </c>
      <c r="B66" t="str">
        <f t="shared" ref="B66:B129" si="1">TRIM(A66)</f>
        <v>Ghana</v>
      </c>
      <c r="C66">
        <v>41.2</v>
      </c>
    </row>
    <row r="67" spans="1:3" x14ac:dyDescent="0.35">
      <c r="A67" t="s">
        <v>315</v>
      </c>
      <c r="B67" t="str">
        <f t="shared" si="1"/>
        <v>Greece</v>
      </c>
      <c r="C67">
        <v>31.7</v>
      </c>
    </row>
    <row r="68" spans="1:3" x14ac:dyDescent="0.35">
      <c r="A68" t="s">
        <v>316</v>
      </c>
      <c r="B68" t="str">
        <f t="shared" si="1"/>
        <v>Grenada</v>
      </c>
      <c r="C68">
        <v>50</v>
      </c>
    </row>
    <row r="69" spans="1:3" x14ac:dyDescent="0.35">
      <c r="A69" t="s">
        <v>317</v>
      </c>
      <c r="B69" t="str">
        <f t="shared" si="1"/>
        <v>Guatemala</v>
      </c>
      <c r="C69">
        <v>32.700000000000003</v>
      </c>
    </row>
    <row r="70" spans="1:3" x14ac:dyDescent="0.35">
      <c r="A70" t="s">
        <v>318</v>
      </c>
      <c r="B70" t="str">
        <f t="shared" si="1"/>
        <v>Guinea</v>
      </c>
      <c r="C70">
        <v>25.8</v>
      </c>
    </row>
    <row r="71" spans="1:3" x14ac:dyDescent="0.35">
      <c r="A71" t="s">
        <v>319</v>
      </c>
      <c r="B71" t="str">
        <f t="shared" si="1"/>
        <v>Guinea-Bissau</v>
      </c>
      <c r="C71">
        <v>69.8</v>
      </c>
    </row>
    <row r="72" spans="1:3" x14ac:dyDescent="0.35">
      <c r="A72" t="s">
        <v>320</v>
      </c>
      <c r="B72" t="str">
        <f t="shared" si="1"/>
        <v>Guyana</v>
      </c>
      <c r="C72">
        <v>83.9</v>
      </c>
    </row>
    <row r="73" spans="1:3" x14ac:dyDescent="0.35">
      <c r="A73" t="s">
        <v>321</v>
      </c>
      <c r="B73" t="str">
        <f t="shared" si="1"/>
        <v>Haiti</v>
      </c>
      <c r="C73">
        <v>3.5</v>
      </c>
    </row>
    <row r="74" spans="1:3" x14ac:dyDescent="0.35">
      <c r="A74" t="s">
        <v>322</v>
      </c>
      <c r="B74" t="str">
        <f t="shared" si="1"/>
        <v>Honduras</v>
      </c>
      <c r="C74">
        <v>40</v>
      </c>
    </row>
    <row r="75" spans="1:3" x14ac:dyDescent="0.35">
      <c r="A75" t="s">
        <v>323</v>
      </c>
      <c r="B75" t="str">
        <f t="shared" si="1"/>
        <v>Hungary</v>
      </c>
      <c r="C75">
        <v>22.9</v>
      </c>
    </row>
    <row r="76" spans="1:3" x14ac:dyDescent="0.35">
      <c r="A76" t="s">
        <v>435</v>
      </c>
      <c r="B76" t="str">
        <f t="shared" si="1"/>
        <v>Iceland</v>
      </c>
      <c r="C76">
        <v>0.5</v>
      </c>
    </row>
    <row r="77" spans="1:3" x14ac:dyDescent="0.35">
      <c r="A77" t="s">
        <v>324</v>
      </c>
      <c r="B77" t="str">
        <f t="shared" si="1"/>
        <v>India</v>
      </c>
      <c r="C77">
        <v>23.8</v>
      </c>
    </row>
    <row r="78" spans="1:3" x14ac:dyDescent="0.35">
      <c r="A78" t="s">
        <v>325</v>
      </c>
      <c r="B78" t="str">
        <f t="shared" si="1"/>
        <v>Indonesia</v>
      </c>
      <c r="C78">
        <v>49.9</v>
      </c>
    </row>
    <row r="79" spans="1:3" x14ac:dyDescent="0.35">
      <c r="A79" t="s">
        <v>326</v>
      </c>
      <c r="B79" t="str">
        <f t="shared" si="1"/>
        <v>Iran (Islamic Republic of)</v>
      </c>
      <c r="C79">
        <v>6.6</v>
      </c>
    </row>
    <row r="80" spans="1:3" x14ac:dyDescent="0.35">
      <c r="A80" t="s">
        <v>327</v>
      </c>
      <c r="B80" t="str">
        <f t="shared" si="1"/>
        <v>Iraq</v>
      </c>
      <c r="C80">
        <v>1.9</v>
      </c>
    </row>
    <row r="81" spans="1:3" x14ac:dyDescent="0.35">
      <c r="A81" t="s">
        <v>434</v>
      </c>
      <c r="B81" t="str">
        <f t="shared" si="1"/>
        <v>Ireland</v>
      </c>
      <c r="C81">
        <v>11</v>
      </c>
    </row>
    <row r="82" spans="1:3" x14ac:dyDescent="0.35">
      <c r="A82" t="s">
        <v>436</v>
      </c>
      <c r="B82" t="str">
        <f t="shared" si="1"/>
        <v>Israel</v>
      </c>
      <c r="C82">
        <v>7.7</v>
      </c>
    </row>
    <row r="83" spans="1:3" x14ac:dyDescent="0.35">
      <c r="A83" t="s">
        <v>328</v>
      </c>
      <c r="B83" t="str">
        <f t="shared" si="1"/>
        <v>Italy</v>
      </c>
      <c r="C83">
        <v>31.8</v>
      </c>
    </row>
    <row r="84" spans="1:3" x14ac:dyDescent="0.35">
      <c r="A84" t="s">
        <v>329</v>
      </c>
      <c r="B84" t="str">
        <f t="shared" si="1"/>
        <v>Jamaica</v>
      </c>
      <c r="C84">
        <v>30.9</v>
      </c>
    </row>
    <row r="85" spans="1:3" x14ac:dyDescent="0.35">
      <c r="A85" t="s">
        <v>437</v>
      </c>
      <c r="B85" t="str">
        <f t="shared" si="1"/>
        <v>Japan</v>
      </c>
      <c r="C85">
        <v>68.5</v>
      </c>
    </row>
    <row r="86" spans="1:3" x14ac:dyDescent="0.35">
      <c r="A86" t="s">
        <v>330</v>
      </c>
      <c r="B86" t="str">
        <f t="shared" si="1"/>
        <v>Jordan</v>
      </c>
      <c r="C86">
        <v>1.1000000000000001</v>
      </c>
    </row>
    <row r="87" spans="1:3" x14ac:dyDescent="0.35">
      <c r="A87" t="s">
        <v>331</v>
      </c>
      <c r="B87" t="str">
        <f t="shared" si="1"/>
        <v>Kazakhstan</v>
      </c>
      <c r="C87">
        <v>1.2</v>
      </c>
    </row>
    <row r="88" spans="1:3" x14ac:dyDescent="0.35">
      <c r="A88" t="s">
        <v>332</v>
      </c>
      <c r="B88" t="str">
        <f t="shared" si="1"/>
        <v>Kenya</v>
      </c>
      <c r="C88">
        <v>7.8</v>
      </c>
    </row>
    <row r="89" spans="1:3" x14ac:dyDescent="0.35">
      <c r="A89" t="s">
        <v>438</v>
      </c>
      <c r="B89" t="str">
        <f t="shared" si="1"/>
        <v>Kiribati</v>
      </c>
      <c r="C89">
        <v>15</v>
      </c>
    </row>
    <row r="90" spans="1:3" x14ac:dyDescent="0.35">
      <c r="A90" t="s">
        <v>333</v>
      </c>
      <c r="B90" t="str">
        <f t="shared" si="1"/>
        <v>Korea (Democratic People's Rep. of)</v>
      </c>
      <c r="C90">
        <v>40.700000000000003</v>
      </c>
    </row>
    <row r="91" spans="1:3" x14ac:dyDescent="0.35">
      <c r="A91" t="s">
        <v>440</v>
      </c>
      <c r="B91" t="str">
        <f t="shared" si="1"/>
        <v>Korea (Republic of)</v>
      </c>
      <c r="C91">
        <v>63.4</v>
      </c>
    </row>
    <row r="92" spans="1:3" x14ac:dyDescent="0.35">
      <c r="A92" t="s">
        <v>334</v>
      </c>
      <c r="B92" t="str">
        <f t="shared" si="1"/>
        <v>Kuwait</v>
      </c>
      <c r="C92">
        <v>0.4</v>
      </c>
    </row>
    <row r="93" spans="1:3" x14ac:dyDescent="0.35">
      <c r="A93" t="s">
        <v>335</v>
      </c>
      <c r="B93" t="str">
        <f t="shared" si="1"/>
        <v>Kyrgyzstan</v>
      </c>
      <c r="C93">
        <v>3.3</v>
      </c>
    </row>
    <row r="94" spans="1:3" x14ac:dyDescent="0.35">
      <c r="A94" t="s">
        <v>336</v>
      </c>
      <c r="B94" t="str">
        <f t="shared" si="1"/>
        <v>Lao People's Democratic Republic</v>
      </c>
      <c r="C94">
        <v>82.1</v>
      </c>
    </row>
    <row r="95" spans="1:3" x14ac:dyDescent="0.35">
      <c r="A95" t="s">
        <v>337</v>
      </c>
      <c r="B95" t="str">
        <f t="shared" si="1"/>
        <v>Latvia</v>
      </c>
      <c r="C95">
        <v>54</v>
      </c>
    </row>
    <row r="96" spans="1:3" x14ac:dyDescent="0.35">
      <c r="A96" t="s">
        <v>338</v>
      </c>
      <c r="B96" t="str">
        <f t="shared" si="1"/>
        <v>Lebanon</v>
      </c>
      <c r="C96">
        <v>13.4</v>
      </c>
    </row>
    <row r="97" spans="1:3" x14ac:dyDescent="0.35">
      <c r="A97" t="s">
        <v>339</v>
      </c>
      <c r="B97" t="str">
        <f t="shared" si="1"/>
        <v>Lesotho</v>
      </c>
      <c r="C97">
        <v>1.6</v>
      </c>
    </row>
    <row r="98" spans="1:3" x14ac:dyDescent="0.35">
      <c r="A98" t="s">
        <v>340</v>
      </c>
      <c r="B98" t="str">
        <f t="shared" si="1"/>
        <v>Liberia</v>
      </c>
      <c r="C98">
        <v>43.1</v>
      </c>
    </row>
    <row r="99" spans="1:3" x14ac:dyDescent="0.35">
      <c r="A99" t="s">
        <v>441</v>
      </c>
      <c r="B99" t="str">
        <f t="shared" si="1"/>
        <v>Libya</v>
      </c>
      <c r="C99">
        <v>0.1</v>
      </c>
    </row>
    <row r="100" spans="1:3" x14ac:dyDescent="0.35">
      <c r="A100" t="s">
        <v>443</v>
      </c>
      <c r="B100" t="str">
        <f t="shared" si="1"/>
        <v>Liechtenstein</v>
      </c>
      <c r="C100">
        <v>43.1</v>
      </c>
    </row>
    <row r="101" spans="1:3" x14ac:dyDescent="0.35">
      <c r="A101" t="s">
        <v>341</v>
      </c>
      <c r="B101" t="str">
        <f t="shared" si="1"/>
        <v>Lithuania</v>
      </c>
      <c r="C101">
        <v>34.799999999999997</v>
      </c>
    </row>
    <row r="102" spans="1:3" x14ac:dyDescent="0.35">
      <c r="A102" t="s">
        <v>444</v>
      </c>
      <c r="B102" t="str">
        <f t="shared" si="1"/>
        <v>Luxembourg</v>
      </c>
      <c r="C102">
        <v>35.700000000000003</v>
      </c>
    </row>
    <row r="103" spans="1:3" x14ac:dyDescent="0.35">
      <c r="A103" t="s">
        <v>342</v>
      </c>
      <c r="B103" t="str">
        <f t="shared" si="1"/>
        <v>Madagascar</v>
      </c>
      <c r="C103">
        <v>21.4</v>
      </c>
    </row>
    <row r="104" spans="1:3" x14ac:dyDescent="0.35">
      <c r="A104" t="s">
        <v>343</v>
      </c>
      <c r="B104" t="str">
        <f t="shared" si="1"/>
        <v>Malawi</v>
      </c>
      <c r="C104">
        <v>33.200000000000003</v>
      </c>
    </row>
    <row r="105" spans="1:3" x14ac:dyDescent="0.35">
      <c r="A105" t="s">
        <v>344</v>
      </c>
      <c r="B105" t="str">
        <f t="shared" si="1"/>
        <v>Malaysia</v>
      </c>
      <c r="C105">
        <v>67.599999999999994</v>
      </c>
    </row>
    <row r="106" spans="1:3" x14ac:dyDescent="0.35">
      <c r="A106" t="s">
        <v>345</v>
      </c>
      <c r="B106" t="str">
        <f t="shared" si="1"/>
        <v>Maldives</v>
      </c>
      <c r="C106">
        <v>3.3</v>
      </c>
    </row>
    <row r="107" spans="1:3" x14ac:dyDescent="0.35">
      <c r="A107" t="s">
        <v>346</v>
      </c>
      <c r="B107" t="str">
        <f t="shared" si="1"/>
        <v>Mali</v>
      </c>
      <c r="C107">
        <v>3.8</v>
      </c>
    </row>
    <row r="108" spans="1:3" x14ac:dyDescent="0.35">
      <c r="A108" t="s">
        <v>347</v>
      </c>
      <c r="B108" t="str">
        <f t="shared" si="1"/>
        <v>Malta</v>
      </c>
      <c r="C108">
        <v>1.1000000000000001</v>
      </c>
    </row>
    <row r="109" spans="1:3" x14ac:dyDescent="0.35">
      <c r="A109" t="s">
        <v>348</v>
      </c>
      <c r="B109" t="str">
        <f t="shared" si="1"/>
        <v>Marshall Islands</v>
      </c>
      <c r="C109">
        <v>70.2</v>
      </c>
    </row>
    <row r="110" spans="1:3" x14ac:dyDescent="0.35">
      <c r="A110" t="s">
        <v>349</v>
      </c>
      <c r="B110" t="str">
        <f t="shared" si="1"/>
        <v>Mauritania</v>
      </c>
      <c r="C110">
        <v>0.2</v>
      </c>
    </row>
    <row r="111" spans="1:3" x14ac:dyDescent="0.35">
      <c r="A111" t="s">
        <v>350</v>
      </c>
      <c r="B111" t="str">
        <f t="shared" si="1"/>
        <v>Mauritius</v>
      </c>
      <c r="C111">
        <v>19</v>
      </c>
    </row>
    <row r="112" spans="1:3" x14ac:dyDescent="0.35">
      <c r="A112" t="s">
        <v>351</v>
      </c>
      <c r="B112" t="str">
        <f t="shared" si="1"/>
        <v>Mexico</v>
      </c>
      <c r="C112">
        <v>33.9</v>
      </c>
    </row>
    <row r="113" spans="1:3" x14ac:dyDescent="0.35">
      <c r="A113" t="s">
        <v>431</v>
      </c>
      <c r="B113" t="str">
        <f t="shared" si="1"/>
        <v>Micronesia (Federated States of)</v>
      </c>
      <c r="C113">
        <v>91.9</v>
      </c>
    </row>
    <row r="114" spans="1:3" x14ac:dyDescent="0.35">
      <c r="A114" t="s">
        <v>352</v>
      </c>
      <c r="B114" t="str">
        <f t="shared" si="1"/>
        <v>Moldova (Republic of)</v>
      </c>
      <c r="C114">
        <v>12.6</v>
      </c>
    </row>
    <row r="115" spans="1:3" x14ac:dyDescent="0.35">
      <c r="A115" t="s">
        <v>353</v>
      </c>
      <c r="B115" t="str">
        <f t="shared" si="1"/>
        <v>Mongolia</v>
      </c>
      <c r="C115">
        <v>8</v>
      </c>
    </row>
    <row r="116" spans="1:3" x14ac:dyDescent="0.35">
      <c r="A116" t="s">
        <v>354</v>
      </c>
      <c r="B116" t="str">
        <f t="shared" si="1"/>
        <v>Montenegro</v>
      </c>
      <c r="C116">
        <v>61.5</v>
      </c>
    </row>
    <row r="117" spans="1:3" x14ac:dyDescent="0.35">
      <c r="A117" t="s">
        <v>355</v>
      </c>
      <c r="B117" t="str">
        <f t="shared" si="1"/>
        <v>Morocco</v>
      </c>
      <c r="C117">
        <v>12.6</v>
      </c>
    </row>
    <row r="118" spans="1:3" x14ac:dyDescent="0.35">
      <c r="A118" t="s">
        <v>356</v>
      </c>
      <c r="B118" t="str">
        <f t="shared" si="1"/>
        <v>Mozambique</v>
      </c>
      <c r="C118">
        <v>48</v>
      </c>
    </row>
    <row r="119" spans="1:3" x14ac:dyDescent="0.35">
      <c r="A119" t="s">
        <v>357</v>
      </c>
      <c r="B119" t="str">
        <f t="shared" si="1"/>
        <v>Myanmar</v>
      </c>
      <c r="C119">
        <v>43.6</v>
      </c>
    </row>
    <row r="120" spans="1:3" x14ac:dyDescent="0.35">
      <c r="A120" t="s">
        <v>358</v>
      </c>
      <c r="B120" t="str">
        <f t="shared" si="1"/>
        <v>Namibia</v>
      </c>
      <c r="C120">
        <v>8.3000000000000007</v>
      </c>
    </row>
    <row r="121" spans="1:3" x14ac:dyDescent="0.35">
      <c r="A121" t="s">
        <v>478</v>
      </c>
      <c r="B121" t="str">
        <f t="shared" si="1"/>
        <v>Nauru</v>
      </c>
      <c r="C121">
        <v>0</v>
      </c>
    </row>
    <row r="122" spans="1:3" x14ac:dyDescent="0.35">
      <c r="A122" t="s">
        <v>359</v>
      </c>
      <c r="B122" t="str">
        <f t="shared" si="1"/>
        <v>Nepal</v>
      </c>
      <c r="C122">
        <v>25.4</v>
      </c>
    </row>
    <row r="123" spans="1:3" x14ac:dyDescent="0.35">
      <c r="A123" t="s">
        <v>445</v>
      </c>
      <c r="B123" t="str">
        <f t="shared" si="1"/>
        <v>Netherlands</v>
      </c>
      <c r="C123">
        <v>11.2</v>
      </c>
    </row>
    <row r="124" spans="1:3" x14ac:dyDescent="0.35">
      <c r="A124" t="s">
        <v>447</v>
      </c>
      <c r="B124" t="str">
        <f t="shared" si="1"/>
        <v>New Zealand</v>
      </c>
      <c r="C124">
        <v>38.6</v>
      </c>
    </row>
    <row r="125" spans="1:3" x14ac:dyDescent="0.35">
      <c r="A125" t="s">
        <v>360</v>
      </c>
      <c r="B125" t="str">
        <f t="shared" si="1"/>
        <v>Nicaragua</v>
      </c>
      <c r="C125">
        <v>25.9</v>
      </c>
    </row>
    <row r="126" spans="1:3" x14ac:dyDescent="0.35">
      <c r="A126" t="s">
        <v>361</v>
      </c>
      <c r="B126" t="str">
        <f t="shared" si="1"/>
        <v>Niger</v>
      </c>
      <c r="C126">
        <v>0.9</v>
      </c>
    </row>
    <row r="127" spans="1:3" x14ac:dyDescent="0.35">
      <c r="A127" t="s">
        <v>362</v>
      </c>
      <c r="B127" t="str">
        <f t="shared" si="1"/>
        <v>Nigeria</v>
      </c>
      <c r="C127">
        <v>7.2</v>
      </c>
    </row>
    <row r="128" spans="1:3" x14ac:dyDescent="0.35">
      <c r="A128" t="s">
        <v>363</v>
      </c>
      <c r="B128" t="str">
        <f t="shared" si="1"/>
        <v>North Macedonia</v>
      </c>
      <c r="C128">
        <v>39.6</v>
      </c>
    </row>
    <row r="129" spans="1:3" x14ac:dyDescent="0.35">
      <c r="A129" t="s">
        <v>446</v>
      </c>
      <c r="B129" t="str">
        <f t="shared" si="1"/>
        <v>Norway</v>
      </c>
      <c r="C129">
        <v>33.200000000000003</v>
      </c>
    </row>
    <row r="130" spans="1:3" x14ac:dyDescent="0.35">
      <c r="A130" t="s">
        <v>364</v>
      </c>
      <c r="B130" t="str">
        <f t="shared" ref="B130:B193" si="2">TRIM(A130)</f>
        <v>Oman</v>
      </c>
      <c r="C130">
        <v>0</v>
      </c>
    </row>
    <row r="131" spans="1:3" x14ac:dyDescent="0.35">
      <c r="A131" t="s">
        <v>365</v>
      </c>
      <c r="B131" t="str">
        <f t="shared" si="2"/>
        <v>Pakistan</v>
      </c>
      <c r="C131">
        <v>1.9</v>
      </c>
    </row>
    <row r="132" spans="1:3" x14ac:dyDescent="0.35">
      <c r="A132" t="s">
        <v>366</v>
      </c>
      <c r="B132" t="str">
        <f t="shared" si="2"/>
        <v>Palau</v>
      </c>
      <c r="C132">
        <v>87.6</v>
      </c>
    </row>
    <row r="133" spans="1:3" x14ac:dyDescent="0.35">
      <c r="A133" t="s">
        <v>367</v>
      </c>
      <c r="B133" t="str">
        <f t="shared" si="2"/>
        <v>Palestine, State of</v>
      </c>
      <c r="C133">
        <v>1.5</v>
      </c>
    </row>
    <row r="134" spans="1:3" x14ac:dyDescent="0.35">
      <c r="A134" t="s">
        <v>368</v>
      </c>
      <c r="B134" t="str">
        <f t="shared" si="2"/>
        <v>Panama</v>
      </c>
      <c r="C134">
        <v>61.9</v>
      </c>
    </row>
    <row r="135" spans="1:3" x14ac:dyDescent="0.35">
      <c r="A135" t="s">
        <v>369</v>
      </c>
      <c r="B135" t="str">
        <f t="shared" si="2"/>
        <v>Papua New Guinea</v>
      </c>
      <c r="C135">
        <v>74.099999999999994</v>
      </c>
    </row>
    <row r="136" spans="1:3" x14ac:dyDescent="0.35">
      <c r="A136" t="s">
        <v>370</v>
      </c>
      <c r="B136" t="str">
        <f t="shared" si="2"/>
        <v>Paraguay</v>
      </c>
      <c r="C136">
        <v>37.700000000000003</v>
      </c>
    </row>
    <row r="137" spans="1:3" x14ac:dyDescent="0.35">
      <c r="A137" t="s">
        <v>371</v>
      </c>
      <c r="B137" t="str">
        <f t="shared" si="2"/>
        <v>Peru</v>
      </c>
      <c r="C137">
        <v>57.7</v>
      </c>
    </row>
    <row r="138" spans="1:3" x14ac:dyDescent="0.35">
      <c r="A138" t="s">
        <v>372</v>
      </c>
      <c r="B138" t="str">
        <f t="shared" si="2"/>
        <v>Philippines</v>
      </c>
      <c r="C138">
        <v>27.8</v>
      </c>
    </row>
    <row r="139" spans="1:3" x14ac:dyDescent="0.35">
      <c r="A139" t="s">
        <v>373</v>
      </c>
      <c r="B139" t="str">
        <f t="shared" si="2"/>
        <v>Poland</v>
      </c>
      <c r="C139">
        <v>30.9</v>
      </c>
    </row>
    <row r="140" spans="1:3" x14ac:dyDescent="0.35">
      <c r="A140" t="s">
        <v>374</v>
      </c>
      <c r="B140" t="str">
        <f t="shared" si="2"/>
        <v>Portugal</v>
      </c>
      <c r="C140">
        <v>34.6</v>
      </c>
    </row>
    <row r="141" spans="1:3" x14ac:dyDescent="0.35">
      <c r="A141" t="s">
        <v>375</v>
      </c>
      <c r="B141" t="str">
        <f t="shared" si="2"/>
        <v>Qatar</v>
      </c>
      <c r="C141">
        <v>0</v>
      </c>
    </row>
    <row r="142" spans="1:3" x14ac:dyDescent="0.35">
      <c r="A142" t="s">
        <v>376</v>
      </c>
      <c r="B142" t="str">
        <f t="shared" si="2"/>
        <v>Romania</v>
      </c>
      <c r="C142">
        <v>30.1</v>
      </c>
    </row>
    <row r="143" spans="1:3" x14ac:dyDescent="0.35">
      <c r="A143" t="s">
        <v>377</v>
      </c>
      <c r="B143" t="str">
        <f t="shared" si="2"/>
        <v>Russian Federation</v>
      </c>
      <c r="C143">
        <v>49.8</v>
      </c>
    </row>
    <row r="144" spans="1:3" x14ac:dyDescent="0.35">
      <c r="A144" t="s">
        <v>378</v>
      </c>
      <c r="B144" t="str">
        <f t="shared" si="2"/>
        <v>Rwanda</v>
      </c>
      <c r="C144">
        <v>19.7</v>
      </c>
    </row>
    <row r="145" spans="1:3" x14ac:dyDescent="0.35">
      <c r="A145" t="s">
        <v>439</v>
      </c>
      <c r="B145" t="str">
        <f t="shared" si="2"/>
        <v>Saint Kitts and Nevis</v>
      </c>
      <c r="C145">
        <v>42.3</v>
      </c>
    </row>
    <row r="146" spans="1:3" x14ac:dyDescent="0.35">
      <c r="A146" t="s">
        <v>442</v>
      </c>
      <c r="B146" t="str">
        <f t="shared" si="2"/>
        <v>Saint Lucia</v>
      </c>
      <c r="C146">
        <v>33.200000000000003</v>
      </c>
    </row>
    <row r="147" spans="1:3" x14ac:dyDescent="0.35">
      <c r="A147" t="s">
        <v>452</v>
      </c>
      <c r="B147" t="str">
        <f t="shared" si="2"/>
        <v>Saint Vincent and the Grenadines</v>
      </c>
      <c r="C147">
        <v>69.2</v>
      </c>
    </row>
    <row r="148" spans="1:3" x14ac:dyDescent="0.35">
      <c r="A148" t="s">
        <v>379</v>
      </c>
      <c r="B148" t="str">
        <f t="shared" si="2"/>
        <v>Samoa</v>
      </c>
      <c r="C148">
        <v>60.4</v>
      </c>
    </row>
    <row r="149" spans="1:3" x14ac:dyDescent="0.35">
      <c r="A149" t="s">
        <v>380</v>
      </c>
      <c r="B149" t="str">
        <f t="shared" si="2"/>
        <v>San Marino</v>
      </c>
      <c r="C149">
        <v>0</v>
      </c>
    </row>
    <row r="150" spans="1:3" x14ac:dyDescent="0.35">
      <c r="A150" t="s">
        <v>381</v>
      </c>
      <c r="B150" t="str">
        <f t="shared" si="2"/>
        <v>Sao Tome and Principe</v>
      </c>
      <c r="C150">
        <v>55.8</v>
      </c>
    </row>
    <row r="151" spans="1:3" x14ac:dyDescent="0.35">
      <c r="A151" t="s">
        <v>382</v>
      </c>
      <c r="B151" t="str">
        <f t="shared" si="2"/>
        <v>Saudi Arabia</v>
      </c>
      <c r="C151">
        <v>0.5</v>
      </c>
    </row>
    <row r="152" spans="1:3" x14ac:dyDescent="0.35">
      <c r="A152" t="s">
        <v>383</v>
      </c>
      <c r="B152" t="str">
        <f t="shared" si="2"/>
        <v>Senegal</v>
      </c>
      <c r="C152">
        <v>42.8</v>
      </c>
    </row>
    <row r="153" spans="1:3" x14ac:dyDescent="0.35">
      <c r="A153" t="s">
        <v>384</v>
      </c>
      <c r="B153" t="str">
        <f t="shared" si="2"/>
        <v>Serbia</v>
      </c>
      <c r="C153">
        <v>31.1</v>
      </c>
    </row>
    <row r="154" spans="1:3" x14ac:dyDescent="0.35">
      <c r="A154" t="s">
        <v>385</v>
      </c>
      <c r="B154" t="str">
        <f t="shared" si="2"/>
        <v>Seychelles</v>
      </c>
      <c r="C154">
        <v>88.4</v>
      </c>
    </row>
    <row r="155" spans="1:3" x14ac:dyDescent="0.35">
      <c r="A155" t="s">
        <v>386</v>
      </c>
      <c r="B155" t="str">
        <f t="shared" si="2"/>
        <v>Sierra Leone</v>
      </c>
      <c r="C155">
        <v>43.1</v>
      </c>
    </row>
    <row r="156" spans="1:3" x14ac:dyDescent="0.35">
      <c r="A156" t="s">
        <v>387</v>
      </c>
      <c r="B156" t="str">
        <f t="shared" si="2"/>
        <v>Singapore</v>
      </c>
      <c r="C156">
        <v>23.1</v>
      </c>
    </row>
    <row r="157" spans="1:3" x14ac:dyDescent="0.35">
      <c r="A157" t="s">
        <v>448</v>
      </c>
      <c r="B157" t="str">
        <f t="shared" si="2"/>
        <v>Slovakia</v>
      </c>
      <c r="C157">
        <v>40.4</v>
      </c>
    </row>
    <row r="158" spans="1:3" x14ac:dyDescent="0.35">
      <c r="A158" t="s">
        <v>388</v>
      </c>
      <c r="B158" t="str">
        <f t="shared" si="2"/>
        <v>Slovenia</v>
      </c>
      <c r="C158">
        <v>62</v>
      </c>
    </row>
    <row r="159" spans="1:3" x14ac:dyDescent="0.35">
      <c r="A159" t="s">
        <v>389</v>
      </c>
      <c r="B159" t="str">
        <f t="shared" si="2"/>
        <v>Solomon Islands</v>
      </c>
      <c r="C159">
        <v>77.900000000000006</v>
      </c>
    </row>
    <row r="160" spans="1:3" x14ac:dyDescent="0.35">
      <c r="A160" t="s">
        <v>476</v>
      </c>
      <c r="B160" t="str">
        <f t="shared" si="2"/>
        <v>Somalia</v>
      </c>
      <c r="C160">
        <v>10</v>
      </c>
    </row>
    <row r="161" spans="1:3" x14ac:dyDescent="0.35">
      <c r="A161" t="s">
        <v>390</v>
      </c>
      <c r="B161" t="str">
        <f t="shared" si="2"/>
        <v>South Africa</v>
      </c>
      <c r="C161">
        <v>7.6</v>
      </c>
    </row>
    <row r="162" spans="1:3" x14ac:dyDescent="0.35">
      <c r="A162" t="s">
        <v>392</v>
      </c>
      <c r="B162" t="str">
        <f t="shared" si="2"/>
        <v>Spain</v>
      </c>
      <c r="C162">
        <v>36.9</v>
      </c>
    </row>
    <row r="163" spans="1:3" x14ac:dyDescent="0.35">
      <c r="A163" t="s">
        <v>393</v>
      </c>
      <c r="B163" t="str">
        <f t="shared" si="2"/>
        <v>Sri Lanka</v>
      </c>
      <c r="C163">
        <v>32.9</v>
      </c>
    </row>
    <row r="164" spans="1:3" x14ac:dyDescent="0.35">
      <c r="A164" t="s">
        <v>395</v>
      </c>
      <c r="B164" t="str">
        <f t="shared" si="2"/>
        <v>Suriname</v>
      </c>
      <c r="C164">
        <v>98.3</v>
      </c>
    </row>
    <row r="165" spans="1:3" x14ac:dyDescent="0.35">
      <c r="A165" t="s">
        <v>449</v>
      </c>
      <c r="B165" t="str">
        <f t="shared" si="2"/>
        <v>Sweden</v>
      </c>
      <c r="C165">
        <v>68.900000000000006</v>
      </c>
    </row>
    <row r="166" spans="1:3" x14ac:dyDescent="0.35">
      <c r="A166" t="s">
        <v>423</v>
      </c>
      <c r="B166" t="str">
        <f t="shared" si="2"/>
        <v>Switzerland</v>
      </c>
      <c r="C166">
        <v>31.8</v>
      </c>
    </row>
    <row r="167" spans="1:3" x14ac:dyDescent="0.35">
      <c r="A167" t="s">
        <v>450</v>
      </c>
      <c r="B167" t="str">
        <f t="shared" si="2"/>
        <v>Syrian Arab Republic</v>
      </c>
      <c r="C167">
        <v>2.7</v>
      </c>
    </row>
    <row r="168" spans="1:3" x14ac:dyDescent="0.35">
      <c r="A168" t="s">
        <v>396</v>
      </c>
      <c r="B168" t="str">
        <f t="shared" si="2"/>
        <v>Tajikistan</v>
      </c>
      <c r="C168">
        <v>3</v>
      </c>
    </row>
    <row r="169" spans="1:3" x14ac:dyDescent="0.35">
      <c r="A169" t="s">
        <v>397</v>
      </c>
      <c r="B169" t="str">
        <f t="shared" si="2"/>
        <v>Tanzania (United Republic of)</v>
      </c>
      <c r="C169">
        <v>51.6</v>
      </c>
    </row>
    <row r="170" spans="1:3" x14ac:dyDescent="0.35">
      <c r="A170" t="s">
        <v>398</v>
      </c>
      <c r="B170" t="str">
        <f t="shared" si="2"/>
        <v>Thailand</v>
      </c>
      <c r="C170">
        <v>32.200000000000003</v>
      </c>
    </row>
    <row r="171" spans="1:3" x14ac:dyDescent="0.35">
      <c r="A171" t="s">
        <v>399</v>
      </c>
      <c r="B171" t="str">
        <f t="shared" si="2"/>
        <v>Timor-Leste</v>
      </c>
      <c r="C171">
        <v>45.4</v>
      </c>
    </row>
    <row r="172" spans="1:3" x14ac:dyDescent="0.35">
      <c r="A172" t="s">
        <v>400</v>
      </c>
      <c r="B172" t="str">
        <f t="shared" si="2"/>
        <v>Togo</v>
      </c>
      <c r="C172">
        <v>3.1</v>
      </c>
    </row>
    <row r="173" spans="1:3" x14ac:dyDescent="0.35">
      <c r="A173" t="s">
        <v>401</v>
      </c>
      <c r="B173" t="str">
        <f t="shared" si="2"/>
        <v>Tonga</v>
      </c>
      <c r="C173">
        <v>12.5</v>
      </c>
    </row>
    <row r="174" spans="1:3" x14ac:dyDescent="0.35">
      <c r="A174" t="s">
        <v>402</v>
      </c>
      <c r="B174" t="str">
        <f t="shared" si="2"/>
        <v>Trinidad and Tobago</v>
      </c>
      <c r="C174">
        <v>46</v>
      </c>
    </row>
    <row r="175" spans="1:3" x14ac:dyDescent="0.35">
      <c r="A175" t="s">
        <v>403</v>
      </c>
      <c r="B175" t="str">
        <f t="shared" si="2"/>
        <v>Tunisia</v>
      </c>
      <c r="C175">
        <v>6.8</v>
      </c>
    </row>
    <row r="176" spans="1:3" x14ac:dyDescent="0.35">
      <c r="A176" t="s">
        <v>404</v>
      </c>
      <c r="B176" t="str">
        <f t="shared" si="2"/>
        <v>Turkey</v>
      </c>
      <c r="C176">
        <v>15.4</v>
      </c>
    </row>
    <row r="177" spans="1:3" x14ac:dyDescent="0.35">
      <c r="A177" t="s">
        <v>405</v>
      </c>
      <c r="B177" t="str">
        <f t="shared" si="2"/>
        <v>Turkmenistan</v>
      </c>
      <c r="C177">
        <v>8.8000000000000007</v>
      </c>
    </row>
    <row r="178" spans="1:3" x14ac:dyDescent="0.35">
      <c r="A178" t="s">
        <v>479</v>
      </c>
      <c r="B178" t="str">
        <f t="shared" si="2"/>
        <v>Tuvalu</v>
      </c>
      <c r="C178">
        <v>33.299999999999997</v>
      </c>
    </row>
    <row r="179" spans="1:3" x14ac:dyDescent="0.35">
      <c r="A179" t="s">
        <v>406</v>
      </c>
      <c r="B179" t="str">
        <f t="shared" si="2"/>
        <v>Uganda</v>
      </c>
      <c r="C179">
        <v>9.6999999999999993</v>
      </c>
    </row>
    <row r="180" spans="1:3" x14ac:dyDescent="0.35">
      <c r="A180" t="s">
        <v>407</v>
      </c>
      <c r="B180" t="str">
        <f t="shared" si="2"/>
        <v>Ukraine</v>
      </c>
      <c r="C180">
        <v>16.7</v>
      </c>
    </row>
    <row r="181" spans="1:3" x14ac:dyDescent="0.35">
      <c r="A181" t="s">
        <v>408</v>
      </c>
      <c r="B181" t="str">
        <f t="shared" si="2"/>
        <v>United Arab Emirates</v>
      </c>
      <c r="C181">
        <v>4.5999999999999996</v>
      </c>
    </row>
    <row r="182" spans="1:3" x14ac:dyDescent="0.35">
      <c r="A182" t="s">
        <v>25</v>
      </c>
      <c r="B182" t="str">
        <f t="shared" si="2"/>
        <v>The United Kingdom</v>
      </c>
      <c r="C182">
        <v>13.1</v>
      </c>
    </row>
    <row r="183" spans="1:3" x14ac:dyDescent="0.35">
      <c r="A183" t="s">
        <v>472</v>
      </c>
      <c r="B183" t="str">
        <f t="shared" si="2"/>
        <v>United States of America</v>
      </c>
      <c r="C183">
        <v>33.9</v>
      </c>
    </row>
    <row r="184" spans="1:3" x14ac:dyDescent="0.35">
      <c r="A184" t="s">
        <v>409</v>
      </c>
      <c r="B184" t="str">
        <f t="shared" si="2"/>
        <v>Uruguay</v>
      </c>
      <c r="C184">
        <v>10.7</v>
      </c>
    </row>
    <row r="185" spans="1:3" x14ac:dyDescent="0.35">
      <c r="A185" t="s">
        <v>410</v>
      </c>
      <c r="B185" t="str">
        <f t="shared" si="2"/>
        <v>Uzbekistan</v>
      </c>
      <c r="C185">
        <v>7.5</v>
      </c>
    </row>
    <row r="186" spans="1:3" x14ac:dyDescent="0.35">
      <c r="A186" t="s">
        <v>411</v>
      </c>
      <c r="B186" t="str">
        <f t="shared" si="2"/>
        <v>Vanuatu</v>
      </c>
      <c r="C186">
        <v>36.1</v>
      </c>
    </row>
    <row r="187" spans="1:3" x14ac:dyDescent="0.35">
      <c r="A187" t="s">
        <v>412</v>
      </c>
      <c r="B187" t="str">
        <f t="shared" si="2"/>
        <v>Venezuela (Bolivarian Republic of)</v>
      </c>
      <c r="C187">
        <v>52.7</v>
      </c>
    </row>
    <row r="188" spans="1:3" x14ac:dyDescent="0.35">
      <c r="A188" t="s">
        <v>413</v>
      </c>
      <c r="B188" t="str">
        <f t="shared" si="2"/>
        <v>Viet Nam</v>
      </c>
      <c r="C188">
        <v>48.1</v>
      </c>
    </row>
    <row r="189" spans="1:3" x14ac:dyDescent="0.35">
      <c r="A189" t="s">
        <v>453</v>
      </c>
      <c r="B189" t="str">
        <f t="shared" si="2"/>
        <v>Yemen</v>
      </c>
      <c r="C189">
        <v>1</v>
      </c>
    </row>
    <row r="190" spans="1:3" x14ac:dyDescent="0.35">
      <c r="A190" t="s">
        <v>414</v>
      </c>
      <c r="B190" t="str">
        <f t="shared" si="2"/>
        <v>Zambia</v>
      </c>
      <c r="C190">
        <v>65.2</v>
      </c>
    </row>
    <row r="191" spans="1:3" x14ac:dyDescent="0.35">
      <c r="A191" t="s">
        <v>415</v>
      </c>
      <c r="B191" t="str">
        <f t="shared" si="2"/>
        <v>Zimbabwe</v>
      </c>
      <c r="C191">
        <v>35.5</v>
      </c>
    </row>
    <row r="192" spans="1:3" x14ac:dyDescent="0.35">
      <c r="A192" t="s">
        <v>433</v>
      </c>
      <c r="B192" t="str">
        <f t="shared" si="2"/>
        <v>Hong Kong, China (SAR)</v>
      </c>
      <c r="C192" t="s">
        <v>471</v>
      </c>
    </row>
    <row r="193" spans="1:3" x14ac:dyDescent="0.35">
      <c r="A193" t="s">
        <v>394</v>
      </c>
      <c r="B193" t="str">
        <f t="shared" si="2"/>
        <v>Sudan</v>
      </c>
      <c r="C193" t="s">
        <v>471</v>
      </c>
    </row>
    <row r="194" spans="1:3" x14ac:dyDescent="0.35">
      <c r="A194" t="s">
        <v>391</v>
      </c>
      <c r="B194" t="str">
        <f t="shared" ref="B194:B211" si="3">TRIM(A194)</f>
        <v>South Sudan</v>
      </c>
      <c r="C194" t="s">
        <v>471</v>
      </c>
    </row>
    <row r="195" spans="1:3" x14ac:dyDescent="0.35">
      <c r="A195" t="s">
        <v>454</v>
      </c>
      <c r="B195" t="str">
        <f t="shared" si="3"/>
        <v>Human Development</v>
      </c>
      <c r="C195" t="s">
        <v>471</v>
      </c>
    </row>
    <row r="196" spans="1:3" x14ac:dyDescent="0.35">
      <c r="A196" t="s">
        <v>455</v>
      </c>
      <c r="B196" t="str">
        <f t="shared" si="3"/>
        <v>Very high human development</v>
      </c>
      <c r="C196">
        <v>33</v>
      </c>
    </row>
    <row r="197" spans="1:3" x14ac:dyDescent="0.35">
      <c r="A197" t="s">
        <v>456</v>
      </c>
      <c r="B197" t="str">
        <f t="shared" si="3"/>
        <v>High human development</v>
      </c>
      <c r="C197">
        <v>31.6</v>
      </c>
    </row>
    <row r="198" spans="1:3" x14ac:dyDescent="0.35">
      <c r="A198" t="s">
        <v>457</v>
      </c>
      <c r="B198" t="str">
        <f t="shared" si="3"/>
        <v>Medium human development</v>
      </c>
      <c r="C198">
        <v>31.6</v>
      </c>
    </row>
    <row r="199" spans="1:3" x14ac:dyDescent="0.35">
      <c r="A199" t="s">
        <v>458</v>
      </c>
      <c r="B199" t="str">
        <f t="shared" si="3"/>
        <v>Low human development</v>
      </c>
      <c r="C199">
        <v>23.7</v>
      </c>
    </row>
    <row r="200" spans="1:3" x14ac:dyDescent="0.35">
      <c r="A200" t="s">
        <v>459</v>
      </c>
      <c r="B200" t="str">
        <f t="shared" si="3"/>
        <v>Developing Countries</v>
      </c>
      <c r="C200">
        <v>27.1</v>
      </c>
    </row>
    <row r="201" spans="1:3" x14ac:dyDescent="0.35">
      <c r="A201" t="s">
        <v>460</v>
      </c>
      <c r="B201" t="str">
        <f t="shared" si="3"/>
        <v>Regions</v>
      </c>
      <c r="C201" t="s">
        <v>471</v>
      </c>
    </row>
    <row r="202" spans="1:3" x14ac:dyDescent="0.35">
      <c r="A202" t="s">
        <v>461</v>
      </c>
      <c r="B202" t="str">
        <f t="shared" si="3"/>
        <v>Arab States</v>
      </c>
      <c r="C202">
        <v>1.8</v>
      </c>
    </row>
    <row r="203" spans="1:3" x14ac:dyDescent="0.35">
      <c r="A203" t="s">
        <v>462</v>
      </c>
      <c r="B203" t="str">
        <f t="shared" si="3"/>
        <v>East Asia and the Pacific</v>
      </c>
      <c r="C203">
        <v>29.8</v>
      </c>
    </row>
    <row r="204" spans="1:3" x14ac:dyDescent="0.35">
      <c r="A204" t="s">
        <v>463</v>
      </c>
      <c r="B204" t="str">
        <f t="shared" si="3"/>
        <v>Europe and Central Asia</v>
      </c>
      <c r="C204">
        <v>9.1999999999999993</v>
      </c>
    </row>
    <row r="205" spans="1:3" x14ac:dyDescent="0.35">
      <c r="A205" t="s">
        <v>464</v>
      </c>
      <c r="B205" t="str">
        <f t="shared" si="3"/>
        <v>Latin America and the Caribbean</v>
      </c>
      <c r="C205">
        <v>46.2</v>
      </c>
    </row>
    <row r="206" spans="1:3" x14ac:dyDescent="0.35">
      <c r="A206" t="s">
        <v>465</v>
      </c>
      <c r="B206" t="str">
        <f t="shared" si="3"/>
        <v>South Asia</v>
      </c>
      <c r="C206">
        <v>14.7</v>
      </c>
    </row>
    <row r="207" spans="1:3" x14ac:dyDescent="0.35">
      <c r="A207" t="s">
        <v>466</v>
      </c>
      <c r="B207" t="str">
        <f t="shared" si="3"/>
        <v>Sub-Saharan Africa</v>
      </c>
      <c r="C207">
        <v>28.1</v>
      </c>
    </row>
    <row r="208" spans="1:3" x14ac:dyDescent="0.35">
      <c r="A208" t="s">
        <v>467</v>
      </c>
      <c r="B208" t="str">
        <f t="shared" si="3"/>
        <v>Least Developed Countries</v>
      </c>
      <c r="C208">
        <v>29.1</v>
      </c>
    </row>
    <row r="209" spans="1:3" x14ac:dyDescent="0.35">
      <c r="A209" t="s">
        <v>468</v>
      </c>
      <c r="B209" t="str">
        <f t="shared" si="3"/>
        <v>Small Island Developing States</v>
      </c>
      <c r="C209">
        <v>69.400000000000006</v>
      </c>
    </row>
    <row r="210" spans="1:3" x14ac:dyDescent="0.35">
      <c r="A210" t="s">
        <v>469</v>
      </c>
      <c r="B210" t="str">
        <f t="shared" si="3"/>
        <v>Organization for Economic Co-operation and Development</v>
      </c>
      <c r="C210">
        <v>32</v>
      </c>
    </row>
    <row r="211" spans="1:3" x14ac:dyDescent="0.35">
      <c r="A211" t="s">
        <v>470</v>
      </c>
      <c r="B211" t="str">
        <f t="shared" si="3"/>
        <v>World</v>
      </c>
      <c r="C211">
        <v>31.2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9"/>
  <sheetViews>
    <sheetView tabSelected="1" workbookViewId="0">
      <selection activeCell="E37" sqref="E37"/>
    </sheetView>
  </sheetViews>
  <sheetFormatPr defaultRowHeight="14.5" x14ac:dyDescent="0.35"/>
  <cols>
    <col min="1" max="1" width="35.26953125" customWidth="1"/>
    <col min="2" max="2" width="47.453125" customWidth="1"/>
  </cols>
  <sheetData>
    <row r="1" spans="1:3" x14ac:dyDescent="0.35">
      <c r="A1" t="s">
        <v>263</v>
      </c>
      <c r="B1" t="str">
        <f>TRIM(A1)</f>
        <v>Afghanistan</v>
      </c>
      <c r="C1">
        <v>2202</v>
      </c>
    </row>
    <row r="2" spans="1:3" x14ac:dyDescent="0.35">
      <c r="A2" t="s">
        <v>264</v>
      </c>
      <c r="B2" t="str">
        <f t="shared" ref="B2:B65" si="0">TRIM(A2)</f>
        <v>Albania</v>
      </c>
      <c r="C2">
        <v>13962</v>
      </c>
    </row>
    <row r="3" spans="1:3" x14ac:dyDescent="0.35">
      <c r="A3" t="s">
        <v>265</v>
      </c>
      <c r="B3" t="str">
        <f t="shared" si="0"/>
        <v>Algeria</v>
      </c>
      <c r="C3">
        <v>11350</v>
      </c>
    </row>
    <row r="4" spans="1:3" x14ac:dyDescent="0.35">
      <c r="A4" t="s">
        <v>266</v>
      </c>
      <c r="B4" t="str">
        <f t="shared" si="0"/>
        <v>Angola</v>
      </c>
      <c r="C4">
        <v>6654</v>
      </c>
    </row>
    <row r="5" spans="1:3" x14ac:dyDescent="0.35">
      <c r="A5" t="s">
        <v>267</v>
      </c>
      <c r="B5" t="str">
        <f t="shared" si="0"/>
        <v>Antigua and Barbuda</v>
      </c>
      <c r="C5">
        <v>21908</v>
      </c>
    </row>
    <row r="6" spans="1:3" x14ac:dyDescent="0.35">
      <c r="A6" t="s">
        <v>268</v>
      </c>
      <c r="B6" t="str">
        <f t="shared" si="0"/>
        <v>Argentina</v>
      </c>
      <c r="C6">
        <v>22034</v>
      </c>
    </row>
    <row r="7" spans="1:3" x14ac:dyDescent="0.35">
      <c r="A7" t="s">
        <v>269</v>
      </c>
      <c r="B7" t="str">
        <f t="shared" si="0"/>
        <v>Armenia</v>
      </c>
      <c r="C7">
        <v>13654</v>
      </c>
    </row>
    <row r="8" spans="1:3" x14ac:dyDescent="0.35">
      <c r="A8" t="s">
        <v>417</v>
      </c>
      <c r="B8" t="str">
        <f t="shared" si="0"/>
        <v>Australia</v>
      </c>
      <c r="C8">
        <v>49756</v>
      </c>
    </row>
    <row r="9" spans="1:3" x14ac:dyDescent="0.35">
      <c r="A9" t="s">
        <v>418</v>
      </c>
      <c r="B9" t="str">
        <f t="shared" si="0"/>
        <v>Austria</v>
      </c>
      <c r="C9">
        <v>56352</v>
      </c>
    </row>
    <row r="10" spans="1:3" x14ac:dyDescent="0.35">
      <c r="A10" t="s">
        <v>270</v>
      </c>
      <c r="B10" t="str">
        <f t="shared" si="0"/>
        <v>Azerbaijan</v>
      </c>
      <c r="C10">
        <v>14404</v>
      </c>
    </row>
    <row r="11" spans="1:3" x14ac:dyDescent="0.35">
      <c r="A11" t="s">
        <v>420</v>
      </c>
      <c r="B11" t="str">
        <f t="shared" si="0"/>
        <v>Bahamas</v>
      </c>
      <c r="C11">
        <v>35783</v>
      </c>
    </row>
    <row r="12" spans="1:3" x14ac:dyDescent="0.35">
      <c r="A12" t="s">
        <v>271</v>
      </c>
      <c r="B12" t="str">
        <f t="shared" si="0"/>
        <v>Bahrain</v>
      </c>
      <c r="C12">
        <v>45026</v>
      </c>
    </row>
    <row r="13" spans="1:3" x14ac:dyDescent="0.35">
      <c r="A13" t="s">
        <v>272</v>
      </c>
      <c r="B13" t="str">
        <f t="shared" si="0"/>
        <v>Bangladesh</v>
      </c>
      <c r="C13">
        <v>4754</v>
      </c>
    </row>
    <row r="14" spans="1:3" x14ac:dyDescent="0.35">
      <c r="A14" t="s">
        <v>273</v>
      </c>
      <c r="B14" t="str">
        <f t="shared" si="0"/>
        <v>Barbados</v>
      </c>
      <c r="C14">
        <v>15639</v>
      </c>
    </row>
    <row r="15" spans="1:3" x14ac:dyDescent="0.35">
      <c r="A15" t="s">
        <v>274</v>
      </c>
      <c r="B15" t="str">
        <f t="shared" si="0"/>
        <v>Belarus</v>
      </c>
      <c r="C15">
        <v>19150</v>
      </c>
    </row>
    <row r="16" spans="1:3" x14ac:dyDescent="0.35">
      <c r="A16" t="s">
        <v>419</v>
      </c>
      <c r="B16" t="str">
        <f t="shared" si="0"/>
        <v>Belgium</v>
      </c>
      <c r="C16">
        <v>51708</v>
      </c>
    </row>
    <row r="17" spans="1:3" x14ac:dyDescent="0.35">
      <c r="A17" t="s">
        <v>421</v>
      </c>
      <c r="B17" t="str">
        <f t="shared" si="0"/>
        <v>Belize</v>
      </c>
      <c r="C17">
        <v>7005</v>
      </c>
    </row>
    <row r="18" spans="1:3" x14ac:dyDescent="0.35">
      <c r="A18" t="s">
        <v>275</v>
      </c>
      <c r="B18" t="str">
        <f t="shared" si="0"/>
        <v>Benin</v>
      </c>
      <c r="C18">
        <v>3287</v>
      </c>
    </row>
    <row r="19" spans="1:3" x14ac:dyDescent="0.35">
      <c r="A19" t="s">
        <v>276</v>
      </c>
      <c r="B19" t="str">
        <f t="shared" si="0"/>
        <v>Bhutan</v>
      </c>
      <c r="C19">
        <v>11345</v>
      </c>
    </row>
    <row r="20" spans="1:3" x14ac:dyDescent="0.35">
      <c r="A20" t="s">
        <v>277</v>
      </c>
      <c r="B20" t="str">
        <f t="shared" si="0"/>
        <v>Bolivia (Plurinational State of)</v>
      </c>
      <c r="C20">
        <v>8724</v>
      </c>
    </row>
    <row r="21" spans="1:3" x14ac:dyDescent="0.35">
      <c r="A21" t="s">
        <v>278</v>
      </c>
      <c r="B21" t="str">
        <f t="shared" si="0"/>
        <v>Bosnia and Herzegovina</v>
      </c>
      <c r="C21">
        <v>14895</v>
      </c>
    </row>
    <row r="22" spans="1:3" x14ac:dyDescent="0.35">
      <c r="A22" t="s">
        <v>279</v>
      </c>
      <c r="B22" t="str">
        <f t="shared" si="0"/>
        <v>Botswana</v>
      </c>
      <c r="C22">
        <v>17766</v>
      </c>
    </row>
    <row r="23" spans="1:3" x14ac:dyDescent="0.35">
      <c r="A23" t="s">
        <v>280</v>
      </c>
      <c r="B23" t="str">
        <f t="shared" si="0"/>
        <v>Brazil</v>
      </c>
      <c r="C23">
        <v>14652</v>
      </c>
    </row>
    <row r="24" spans="1:3" x14ac:dyDescent="0.35">
      <c r="A24" t="s">
        <v>281</v>
      </c>
      <c r="B24" t="str">
        <f t="shared" si="0"/>
        <v>Brunei Darussalam</v>
      </c>
      <c r="C24">
        <v>62100</v>
      </c>
    </row>
    <row r="25" spans="1:3" x14ac:dyDescent="0.35">
      <c r="A25" t="s">
        <v>282</v>
      </c>
      <c r="B25" t="str">
        <f t="shared" si="0"/>
        <v>Bulgaria</v>
      </c>
      <c r="C25">
        <v>23091</v>
      </c>
    </row>
    <row r="26" spans="1:3" x14ac:dyDescent="0.35">
      <c r="A26" t="s">
        <v>283</v>
      </c>
      <c r="B26" t="str">
        <f t="shared" si="0"/>
        <v>Burkina Faso</v>
      </c>
      <c r="C26">
        <v>2190</v>
      </c>
    </row>
    <row r="27" spans="1:3" x14ac:dyDescent="0.35">
      <c r="A27" t="s">
        <v>284</v>
      </c>
      <c r="B27" t="str">
        <f t="shared" si="0"/>
        <v>Burundi</v>
      </c>
      <c r="C27">
        <v>752</v>
      </c>
    </row>
    <row r="28" spans="1:3" x14ac:dyDescent="0.35">
      <c r="A28" t="s">
        <v>285</v>
      </c>
      <c r="B28" t="str">
        <f t="shared" si="0"/>
        <v>Cabo Verde</v>
      </c>
      <c r="C28">
        <v>7172</v>
      </c>
    </row>
    <row r="29" spans="1:3" x14ac:dyDescent="0.35">
      <c r="A29" t="s">
        <v>286</v>
      </c>
      <c r="B29" t="str">
        <f t="shared" si="0"/>
        <v>Cambodia</v>
      </c>
      <c r="C29">
        <v>4389</v>
      </c>
    </row>
    <row r="30" spans="1:3" x14ac:dyDescent="0.35">
      <c r="A30" t="s">
        <v>287</v>
      </c>
      <c r="B30" t="str">
        <f t="shared" si="0"/>
        <v>Cameroon</v>
      </c>
      <c r="C30">
        <v>3653</v>
      </c>
    </row>
    <row r="31" spans="1:3" x14ac:dyDescent="0.35">
      <c r="A31" t="s">
        <v>422</v>
      </c>
      <c r="B31" t="str">
        <f t="shared" si="0"/>
        <v>Canada</v>
      </c>
      <c r="C31">
        <v>49031</v>
      </c>
    </row>
    <row r="32" spans="1:3" x14ac:dyDescent="0.35">
      <c r="A32" t="s">
        <v>288</v>
      </c>
      <c r="B32" t="str">
        <f t="shared" si="0"/>
        <v>Central African Republic</v>
      </c>
      <c r="C32">
        <v>945</v>
      </c>
    </row>
    <row r="33" spans="1:3" x14ac:dyDescent="0.35">
      <c r="A33" t="s">
        <v>289</v>
      </c>
      <c r="B33" t="str">
        <f t="shared" si="0"/>
        <v>Chad</v>
      </c>
      <c r="C33">
        <v>1580</v>
      </c>
    </row>
    <row r="34" spans="1:3" x14ac:dyDescent="0.35">
      <c r="A34" t="s">
        <v>290</v>
      </c>
      <c r="B34" t="str">
        <f t="shared" si="0"/>
        <v>Chile</v>
      </c>
      <c r="C34">
        <v>24226</v>
      </c>
    </row>
    <row r="35" spans="1:3" x14ac:dyDescent="0.35">
      <c r="A35" t="s">
        <v>291</v>
      </c>
      <c r="B35" t="str">
        <f t="shared" si="0"/>
        <v>China</v>
      </c>
      <c r="C35">
        <v>16117</v>
      </c>
    </row>
    <row r="36" spans="1:3" x14ac:dyDescent="0.35">
      <c r="A36" t="s">
        <v>292</v>
      </c>
      <c r="B36" t="str">
        <f t="shared" si="0"/>
        <v>Colombia</v>
      </c>
      <c r="C36">
        <v>14731</v>
      </c>
    </row>
    <row r="37" spans="1:3" x14ac:dyDescent="0.35">
      <c r="A37" t="s">
        <v>293</v>
      </c>
      <c r="B37" t="str">
        <f t="shared" si="0"/>
        <v>Comoros</v>
      </c>
      <c r="C37">
        <v>3081</v>
      </c>
    </row>
    <row r="38" spans="1:3" x14ac:dyDescent="0.35">
      <c r="A38" t="s">
        <v>294</v>
      </c>
      <c r="B38" t="str">
        <f t="shared" si="0"/>
        <v>Congo</v>
      </c>
      <c r="C38">
        <v>3298</v>
      </c>
    </row>
    <row r="39" spans="1:3" x14ac:dyDescent="0.35">
      <c r="A39" t="s">
        <v>295</v>
      </c>
      <c r="B39" t="str">
        <f t="shared" si="0"/>
        <v>Congo (Democratic Republic of the)</v>
      </c>
      <c r="C39">
        <v>1098</v>
      </c>
    </row>
    <row r="40" spans="1:3" x14ac:dyDescent="0.35">
      <c r="A40" t="s">
        <v>296</v>
      </c>
      <c r="B40" t="str">
        <f t="shared" si="0"/>
        <v>Costa Rica</v>
      </c>
      <c r="C40">
        <v>19642</v>
      </c>
    </row>
    <row r="41" spans="1:3" x14ac:dyDescent="0.35">
      <c r="A41" t="s">
        <v>297</v>
      </c>
      <c r="B41" t="str">
        <f t="shared" si="0"/>
        <v>Croatia</v>
      </c>
      <c r="C41">
        <v>28509</v>
      </c>
    </row>
    <row r="42" spans="1:3" x14ac:dyDescent="0.35">
      <c r="A42" t="s">
        <v>299</v>
      </c>
      <c r="B42" t="str">
        <f t="shared" si="0"/>
        <v>Cyprus</v>
      </c>
      <c r="C42">
        <v>39545</v>
      </c>
    </row>
    <row r="43" spans="1:3" x14ac:dyDescent="0.35">
      <c r="A43" t="s">
        <v>424</v>
      </c>
      <c r="B43" t="str">
        <f t="shared" si="0"/>
        <v>Czechia</v>
      </c>
      <c r="C43">
        <v>40314</v>
      </c>
    </row>
    <row r="44" spans="1:3" x14ac:dyDescent="0.35">
      <c r="A44" t="s">
        <v>300</v>
      </c>
      <c r="B44" t="str">
        <f t="shared" si="0"/>
        <v>Côte d'Ivoire</v>
      </c>
      <c r="C44">
        <v>5238</v>
      </c>
    </row>
    <row r="45" spans="1:3" x14ac:dyDescent="0.35">
      <c r="A45" t="s">
        <v>428</v>
      </c>
      <c r="B45" t="str">
        <f t="shared" si="0"/>
        <v>Denmark</v>
      </c>
      <c r="C45">
        <v>57184</v>
      </c>
    </row>
    <row r="46" spans="1:3" x14ac:dyDescent="0.35">
      <c r="A46" t="s">
        <v>426</v>
      </c>
      <c r="B46" t="str">
        <f t="shared" si="0"/>
        <v>Djibouti</v>
      </c>
      <c r="C46">
        <v>5519</v>
      </c>
    </row>
    <row r="47" spans="1:3" x14ac:dyDescent="0.35">
      <c r="A47" t="s">
        <v>427</v>
      </c>
      <c r="B47" t="str">
        <f t="shared" si="0"/>
        <v>Dominica</v>
      </c>
      <c r="C47">
        <v>12156</v>
      </c>
    </row>
    <row r="48" spans="1:3" x14ac:dyDescent="0.35">
      <c r="A48" t="s">
        <v>301</v>
      </c>
      <c r="B48" t="str">
        <f t="shared" si="0"/>
        <v>Dominican Republic</v>
      </c>
      <c r="C48">
        <v>18419</v>
      </c>
    </row>
    <row r="49" spans="1:3" x14ac:dyDescent="0.35">
      <c r="A49" t="s">
        <v>302</v>
      </c>
      <c r="B49" t="str">
        <f t="shared" si="0"/>
        <v>Ecuador</v>
      </c>
      <c r="C49">
        <v>11375</v>
      </c>
    </row>
    <row r="50" spans="1:3" x14ac:dyDescent="0.35">
      <c r="A50" t="s">
        <v>303</v>
      </c>
      <c r="B50" t="str">
        <f t="shared" si="0"/>
        <v>Egypt</v>
      </c>
      <c r="C50">
        <v>11763</v>
      </c>
    </row>
    <row r="51" spans="1:3" x14ac:dyDescent="0.35">
      <c r="A51" t="s">
        <v>304</v>
      </c>
      <c r="B51" t="str">
        <f t="shared" si="0"/>
        <v>El Salvador</v>
      </c>
      <c r="C51">
        <v>8776</v>
      </c>
    </row>
    <row r="52" spans="1:3" x14ac:dyDescent="0.35">
      <c r="A52" t="s">
        <v>305</v>
      </c>
      <c r="B52" t="str">
        <f t="shared" si="0"/>
        <v>Equatorial Guinea</v>
      </c>
      <c r="C52">
        <v>18558</v>
      </c>
    </row>
    <row r="53" spans="1:3" x14ac:dyDescent="0.35">
      <c r="A53" t="s">
        <v>307</v>
      </c>
      <c r="B53" t="str">
        <f t="shared" si="0"/>
        <v>Estonia</v>
      </c>
      <c r="C53">
        <v>36710</v>
      </c>
    </row>
    <row r="54" spans="1:3" x14ac:dyDescent="0.35">
      <c r="A54" t="s">
        <v>308</v>
      </c>
      <c r="B54" t="str">
        <f t="shared" si="0"/>
        <v>Eswatini (Kingdom of)</v>
      </c>
      <c r="C54">
        <v>8688</v>
      </c>
    </row>
    <row r="55" spans="1:3" x14ac:dyDescent="0.35">
      <c r="A55" t="s">
        <v>309</v>
      </c>
      <c r="B55" t="str">
        <f t="shared" si="0"/>
        <v>Ethiopia</v>
      </c>
      <c r="C55">
        <v>2220</v>
      </c>
    </row>
    <row r="56" spans="1:3" x14ac:dyDescent="0.35">
      <c r="A56" t="s">
        <v>310</v>
      </c>
      <c r="B56" t="str">
        <f t="shared" si="0"/>
        <v>Fiji</v>
      </c>
      <c r="C56">
        <v>13853</v>
      </c>
    </row>
    <row r="57" spans="1:3" x14ac:dyDescent="0.35">
      <c r="A57" t="s">
        <v>429</v>
      </c>
      <c r="B57" t="str">
        <f t="shared" si="0"/>
        <v>Finland</v>
      </c>
      <c r="C57">
        <v>48621</v>
      </c>
    </row>
    <row r="58" spans="1:3" x14ac:dyDescent="0.35">
      <c r="A58" t="s">
        <v>430</v>
      </c>
      <c r="B58" t="str">
        <f t="shared" si="0"/>
        <v>France</v>
      </c>
      <c r="C58">
        <v>46184</v>
      </c>
    </row>
    <row r="59" spans="1:3" x14ac:dyDescent="0.35">
      <c r="A59" t="s">
        <v>311</v>
      </c>
      <c r="B59" t="str">
        <f t="shared" si="0"/>
        <v>Gabon</v>
      </c>
      <c r="C59">
        <v>14870</v>
      </c>
    </row>
    <row r="60" spans="1:3" x14ac:dyDescent="0.35">
      <c r="A60" t="s">
        <v>312</v>
      </c>
      <c r="B60" t="str">
        <f t="shared" si="0"/>
        <v>Gambia</v>
      </c>
      <c r="C60">
        <v>2207</v>
      </c>
    </row>
    <row r="61" spans="1:3" x14ac:dyDescent="0.35">
      <c r="A61" t="s">
        <v>313</v>
      </c>
      <c r="B61" t="str">
        <f t="shared" si="0"/>
        <v>Georgia</v>
      </c>
      <c r="C61">
        <v>15014</v>
      </c>
    </row>
    <row r="62" spans="1:3" x14ac:dyDescent="0.35">
      <c r="A62" t="s">
        <v>425</v>
      </c>
      <c r="B62" t="str">
        <f t="shared" si="0"/>
        <v>Germany</v>
      </c>
      <c r="C62">
        <v>53815</v>
      </c>
    </row>
    <row r="63" spans="1:3" x14ac:dyDescent="0.35">
      <c r="A63" t="s">
        <v>314</v>
      </c>
      <c r="B63" t="str">
        <f t="shared" si="0"/>
        <v>Ghana</v>
      </c>
      <c r="C63">
        <v>5413</v>
      </c>
    </row>
    <row r="64" spans="1:3" x14ac:dyDescent="0.35">
      <c r="A64" t="s">
        <v>315</v>
      </c>
      <c r="B64" t="str">
        <f t="shared" si="0"/>
        <v>Greece</v>
      </c>
      <c r="C64">
        <v>30315</v>
      </c>
    </row>
    <row r="65" spans="1:3" x14ac:dyDescent="0.35">
      <c r="A65" t="s">
        <v>316</v>
      </c>
      <c r="B65" t="str">
        <f t="shared" si="0"/>
        <v>Grenada</v>
      </c>
      <c r="C65">
        <v>17242</v>
      </c>
    </row>
    <row r="66" spans="1:3" x14ac:dyDescent="0.35">
      <c r="A66" t="s">
        <v>317</v>
      </c>
      <c r="B66" t="str">
        <f t="shared" ref="B66:B129" si="1">TRIM(A66)</f>
        <v>Guatemala</v>
      </c>
      <c r="C66">
        <v>8638</v>
      </c>
    </row>
    <row r="67" spans="1:3" x14ac:dyDescent="0.35">
      <c r="A67" t="s">
        <v>318</v>
      </c>
      <c r="B67" t="str">
        <f t="shared" si="1"/>
        <v>Guinea</v>
      </c>
      <c r="C67">
        <v>2564</v>
      </c>
    </row>
    <row r="68" spans="1:3" x14ac:dyDescent="0.35">
      <c r="A68" t="s">
        <v>319</v>
      </c>
      <c r="B68" t="str">
        <f t="shared" si="1"/>
        <v>Guinea-Bissau</v>
      </c>
      <c r="C68">
        <v>1989</v>
      </c>
    </row>
    <row r="69" spans="1:3" x14ac:dyDescent="0.35">
      <c r="A69" t="s">
        <v>320</v>
      </c>
      <c r="B69" t="str">
        <f t="shared" si="1"/>
        <v>Guyana</v>
      </c>
      <c r="C69">
        <v>9703</v>
      </c>
    </row>
    <row r="70" spans="1:3" x14ac:dyDescent="0.35">
      <c r="A70" t="s">
        <v>321</v>
      </c>
      <c r="B70" t="str">
        <f t="shared" si="1"/>
        <v>Haiti</v>
      </c>
      <c r="C70">
        <v>1729</v>
      </c>
    </row>
    <row r="71" spans="1:3" x14ac:dyDescent="0.35">
      <c r="A71" t="s">
        <v>322</v>
      </c>
      <c r="B71" t="str">
        <f t="shared" si="1"/>
        <v>Honduras</v>
      </c>
      <c r="C71">
        <v>5728</v>
      </c>
    </row>
    <row r="72" spans="1:3" x14ac:dyDescent="0.35">
      <c r="A72" t="s">
        <v>433</v>
      </c>
      <c r="B72" t="str">
        <f t="shared" si="1"/>
        <v>Hong Kong, China (SAR)</v>
      </c>
      <c r="C72">
        <v>59893</v>
      </c>
    </row>
    <row r="73" spans="1:3" x14ac:dyDescent="0.35">
      <c r="A73" t="s">
        <v>323</v>
      </c>
      <c r="B73" t="str">
        <f t="shared" si="1"/>
        <v>Hungary</v>
      </c>
      <c r="C73">
        <v>32623</v>
      </c>
    </row>
    <row r="74" spans="1:3" x14ac:dyDescent="0.35">
      <c r="A74" t="s">
        <v>435</v>
      </c>
      <c r="B74" t="str">
        <f t="shared" si="1"/>
        <v>Iceland</v>
      </c>
      <c r="C74">
        <v>55874</v>
      </c>
    </row>
    <row r="75" spans="1:3" x14ac:dyDescent="0.35">
      <c r="A75" t="s">
        <v>324</v>
      </c>
      <c r="B75" t="str">
        <f t="shared" si="1"/>
        <v>India</v>
      </c>
      <c r="C75">
        <v>6754</v>
      </c>
    </row>
    <row r="76" spans="1:3" x14ac:dyDescent="0.35">
      <c r="A76" t="s">
        <v>325</v>
      </c>
      <c r="B76" t="str">
        <f t="shared" si="1"/>
        <v>Indonesia</v>
      </c>
      <c r="C76">
        <v>11812</v>
      </c>
    </row>
    <row r="77" spans="1:3" x14ac:dyDescent="0.35">
      <c r="A77" t="s">
        <v>326</v>
      </c>
      <c r="B77" t="str">
        <f t="shared" si="1"/>
        <v>Iran (Islamic Republic of)</v>
      </c>
      <c r="C77">
        <v>14536</v>
      </c>
    </row>
    <row r="78" spans="1:3" x14ac:dyDescent="0.35">
      <c r="A78" t="s">
        <v>327</v>
      </c>
      <c r="B78" t="str">
        <f t="shared" si="1"/>
        <v>Iraq</v>
      </c>
      <c r="C78">
        <v>10881</v>
      </c>
    </row>
    <row r="79" spans="1:3" x14ac:dyDescent="0.35">
      <c r="A79" t="s">
        <v>434</v>
      </c>
      <c r="B79" t="str">
        <f t="shared" si="1"/>
        <v>Ireland</v>
      </c>
      <c r="C79">
        <v>86781</v>
      </c>
    </row>
    <row r="80" spans="1:3" x14ac:dyDescent="0.35">
      <c r="A80" t="s">
        <v>436</v>
      </c>
      <c r="B80" t="str">
        <f t="shared" si="1"/>
        <v>Israel</v>
      </c>
      <c r="C80">
        <v>40162</v>
      </c>
    </row>
    <row r="81" spans="1:3" x14ac:dyDescent="0.35">
      <c r="A81" t="s">
        <v>328</v>
      </c>
      <c r="B81" t="str">
        <f t="shared" si="1"/>
        <v>Italy</v>
      </c>
      <c r="C81">
        <v>42413</v>
      </c>
    </row>
    <row r="82" spans="1:3" x14ac:dyDescent="0.35">
      <c r="A82" t="s">
        <v>329</v>
      </c>
      <c r="B82" t="str">
        <f t="shared" si="1"/>
        <v>Jamaica</v>
      </c>
      <c r="C82">
        <v>9761</v>
      </c>
    </row>
    <row r="83" spans="1:3" x14ac:dyDescent="0.35">
      <c r="A83" t="s">
        <v>437</v>
      </c>
      <c r="B83" t="str">
        <f t="shared" si="1"/>
        <v>Japan</v>
      </c>
      <c r="C83">
        <v>41429</v>
      </c>
    </row>
    <row r="84" spans="1:3" x14ac:dyDescent="0.35">
      <c r="A84" t="s">
        <v>330</v>
      </c>
      <c r="B84" t="str">
        <f t="shared" si="1"/>
        <v>Jordan</v>
      </c>
      <c r="C84">
        <v>9906</v>
      </c>
    </row>
    <row r="85" spans="1:3" x14ac:dyDescent="0.35">
      <c r="A85" t="s">
        <v>331</v>
      </c>
      <c r="B85" t="str">
        <f t="shared" si="1"/>
        <v>Kazakhstan</v>
      </c>
      <c r="C85">
        <v>26351</v>
      </c>
    </row>
    <row r="86" spans="1:3" x14ac:dyDescent="0.35">
      <c r="A86" t="s">
        <v>332</v>
      </c>
      <c r="B86" t="str">
        <f t="shared" si="1"/>
        <v>Kenya</v>
      </c>
      <c r="C86">
        <v>4330</v>
      </c>
    </row>
    <row r="87" spans="1:3" x14ac:dyDescent="0.35">
      <c r="A87" t="s">
        <v>438</v>
      </c>
      <c r="B87" t="str">
        <f t="shared" si="1"/>
        <v>Kiribati</v>
      </c>
      <c r="C87">
        <v>2275</v>
      </c>
    </row>
    <row r="88" spans="1:3" x14ac:dyDescent="0.35">
      <c r="A88" t="s">
        <v>440</v>
      </c>
      <c r="B88" t="str">
        <f t="shared" si="1"/>
        <v>Korea (Republic of)</v>
      </c>
      <c r="C88">
        <v>42661</v>
      </c>
    </row>
    <row r="89" spans="1:3" x14ac:dyDescent="0.35">
      <c r="A89" t="s">
        <v>334</v>
      </c>
      <c r="B89" t="str">
        <f t="shared" si="1"/>
        <v>Kuwait</v>
      </c>
      <c r="C89">
        <v>49846</v>
      </c>
    </row>
    <row r="90" spans="1:3" x14ac:dyDescent="0.35">
      <c r="A90" t="s">
        <v>335</v>
      </c>
      <c r="B90" t="str">
        <f t="shared" si="1"/>
        <v>Kyrgyzstan</v>
      </c>
      <c r="C90">
        <v>5253</v>
      </c>
    </row>
    <row r="91" spans="1:3" x14ac:dyDescent="0.35">
      <c r="A91" t="s">
        <v>336</v>
      </c>
      <c r="B91" t="str">
        <f t="shared" si="1"/>
        <v>Lao People's Democratic Republic</v>
      </c>
      <c r="C91">
        <v>7826</v>
      </c>
    </row>
    <row r="92" spans="1:3" x14ac:dyDescent="0.35">
      <c r="A92" t="s">
        <v>337</v>
      </c>
      <c r="B92" t="str">
        <f t="shared" si="1"/>
        <v>Latvia</v>
      </c>
      <c r="C92">
        <v>30830</v>
      </c>
    </row>
    <row r="93" spans="1:3" x14ac:dyDescent="0.35">
      <c r="A93" t="s">
        <v>338</v>
      </c>
      <c r="B93" t="str">
        <f t="shared" si="1"/>
        <v>Lebanon</v>
      </c>
      <c r="C93">
        <v>14717</v>
      </c>
    </row>
    <row r="94" spans="1:3" x14ac:dyDescent="0.35">
      <c r="A94" t="s">
        <v>339</v>
      </c>
      <c r="B94" t="str">
        <f t="shared" si="1"/>
        <v>Lesotho</v>
      </c>
      <c r="C94">
        <v>2768</v>
      </c>
    </row>
    <row r="95" spans="1:3" x14ac:dyDescent="0.35">
      <c r="A95" t="s">
        <v>340</v>
      </c>
      <c r="B95" t="str">
        <f t="shared" si="1"/>
        <v>Liberia</v>
      </c>
      <c r="C95">
        <v>1428</v>
      </c>
    </row>
    <row r="96" spans="1:3" x14ac:dyDescent="0.35">
      <c r="A96" t="s">
        <v>441</v>
      </c>
      <c r="B96" t="str">
        <f t="shared" si="1"/>
        <v>Libya</v>
      </c>
      <c r="C96">
        <v>15174</v>
      </c>
    </row>
    <row r="97" spans="1:3" x14ac:dyDescent="0.35">
      <c r="A97" t="s">
        <v>341</v>
      </c>
      <c r="B97" t="str">
        <f t="shared" si="1"/>
        <v>Lithuania</v>
      </c>
      <c r="C97">
        <v>36975</v>
      </c>
    </row>
    <row r="98" spans="1:3" x14ac:dyDescent="0.35">
      <c r="A98" t="s">
        <v>444</v>
      </c>
      <c r="B98" t="str">
        <f t="shared" si="1"/>
        <v>Luxembourg</v>
      </c>
      <c r="C98">
        <v>114482</v>
      </c>
    </row>
    <row r="99" spans="1:3" x14ac:dyDescent="0.35">
      <c r="A99" t="s">
        <v>342</v>
      </c>
      <c r="B99" t="str">
        <f t="shared" si="1"/>
        <v>Madagascar</v>
      </c>
      <c r="C99">
        <v>1646</v>
      </c>
    </row>
    <row r="100" spans="1:3" x14ac:dyDescent="0.35">
      <c r="A100" t="s">
        <v>343</v>
      </c>
      <c r="B100" t="str">
        <f t="shared" si="1"/>
        <v>Malawi</v>
      </c>
      <c r="C100">
        <v>1060</v>
      </c>
    </row>
    <row r="101" spans="1:3" x14ac:dyDescent="0.35">
      <c r="A101" t="s">
        <v>344</v>
      </c>
      <c r="B101" t="str">
        <f t="shared" si="1"/>
        <v>Malaysia</v>
      </c>
      <c r="C101">
        <v>28351</v>
      </c>
    </row>
    <row r="102" spans="1:3" x14ac:dyDescent="0.35">
      <c r="A102" t="s">
        <v>345</v>
      </c>
      <c r="B102" t="str">
        <f t="shared" si="1"/>
        <v>Maldives</v>
      </c>
      <c r="C102">
        <v>18914</v>
      </c>
    </row>
    <row r="103" spans="1:3" x14ac:dyDescent="0.35">
      <c r="A103" t="s">
        <v>346</v>
      </c>
      <c r="B103" t="str">
        <f t="shared" si="1"/>
        <v>Mali</v>
      </c>
      <c r="C103">
        <v>2327</v>
      </c>
    </row>
    <row r="104" spans="1:3" x14ac:dyDescent="0.35">
      <c r="A104" t="s">
        <v>347</v>
      </c>
      <c r="B104" t="str">
        <f t="shared" si="1"/>
        <v>Malta</v>
      </c>
      <c r="C104">
        <v>43340</v>
      </c>
    </row>
    <row r="105" spans="1:3" x14ac:dyDescent="0.35">
      <c r="A105" t="s">
        <v>348</v>
      </c>
      <c r="B105" t="str">
        <f t="shared" si="1"/>
        <v>Marshall Islands</v>
      </c>
      <c r="C105">
        <v>3894</v>
      </c>
    </row>
    <row r="106" spans="1:3" x14ac:dyDescent="0.35">
      <c r="A106" t="s">
        <v>349</v>
      </c>
      <c r="B106" t="str">
        <f t="shared" si="1"/>
        <v>Mauritania</v>
      </c>
      <c r="C106">
        <v>5197</v>
      </c>
    </row>
    <row r="107" spans="1:3" x14ac:dyDescent="0.35">
      <c r="A107" t="s">
        <v>350</v>
      </c>
      <c r="B107" t="str">
        <f t="shared" si="1"/>
        <v>Mauritius</v>
      </c>
      <c r="C107">
        <v>22989</v>
      </c>
    </row>
    <row r="108" spans="1:3" x14ac:dyDescent="0.35">
      <c r="A108" t="s">
        <v>351</v>
      </c>
      <c r="B108" t="str">
        <f t="shared" si="1"/>
        <v>Mexico</v>
      </c>
      <c r="C108">
        <v>19746</v>
      </c>
    </row>
    <row r="109" spans="1:3" x14ac:dyDescent="0.35">
      <c r="A109" t="s">
        <v>431</v>
      </c>
      <c r="B109" t="str">
        <f t="shared" si="1"/>
        <v>Micronesia (Federated States of)</v>
      </c>
      <c r="C109">
        <v>3469</v>
      </c>
    </row>
    <row r="110" spans="1:3" x14ac:dyDescent="0.35">
      <c r="A110" t="s">
        <v>352</v>
      </c>
      <c r="B110" t="str">
        <f t="shared" si="1"/>
        <v>Moldova (Republic of)</v>
      </c>
      <c r="C110">
        <v>13034</v>
      </c>
    </row>
    <row r="111" spans="1:3" x14ac:dyDescent="0.35">
      <c r="A111" t="s">
        <v>353</v>
      </c>
      <c r="B111" t="str">
        <f t="shared" si="1"/>
        <v>Mongolia</v>
      </c>
      <c r="C111">
        <v>12310</v>
      </c>
    </row>
    <row r="112" spans="1:3" x14ac:dyDescent="0.35">
      <c r="A112" t="s">
        <v>354</v>
      </c>
      <c r="B112" t="str">
        <f t="shared" si="1"/>
        <v>Montenegro</v>
      </c>
      <c r="C112">
        <v>21379</v>
      </c>
    </row>
    <row r="113" spans="1:3" x14ac:dyDescent="0.35">
      <c r="A113" t="s">
        <v>355</v>
      </c>
      <c r="B113" t="str">
        <f t="shared" si="1"/>
        <v>Morocco</v>
      </c>
      <c r="C113">
        <v>7515</v>
      </c>
    </row>
    <row r="114" spans="1:3" x14ac:dyDescent="0.35">
      <c r="A114" t="s">
        <v>356</v>
      </c>
      <c r="B114" t="str">
        <f t="shared" si="1"/>
        <v>Mozambique</v>
      </c>
      <c r="C114">
        <v>1280</v>
      </c>
    </row>
    <row r="115" spans="1:3" x14ac:dyDescent="0.35">
      <c r="A115" t="s">
        <v>357</v>
      </c>
      <c r="B115" t="str">
        <f t="shared" si="1"/>
        <v>Myanmar</v>
      </c>
      <c r="C115">
        <v>5142</v>
      </c>
    </row>
    <row r="116" spans="1:3" x14ac:dyDescent="0.35">
      <c r="A116" t="s">
        <v>358</v>
      </c>
      <c r="B116" t="str">
        <f t="shared" si="1"/>
        <v>Namibia</v>
      </c>
      <c r="C116">
        <v>9637</v>
      </c>
    </row>
    <row r="117" spans="1:3" x14ac:dyDescent="0.35">
      <c r="A117" t="s">
        <v>478</v>
      </c>
      <c r="B117" t="str">
        <f t="shared" si="1"/>
        <v>Nauru</v>
      </c>
      <c r="C117">
        <v>11599</v>
      </c>
    </row>
    <row r="118" spans="1:3" x14ac:dyDescent="0.35">
      <c r="A118" t="s">
        <v>359</v>
      </c>
      <c r="B118" t="str">
        <f t="shared" si="1"/>
        <v>Nepal</v>
      </c>
      <c r="C118">
        <v>3417</v>
      </c>
    </row>
    <row r="119" spans="1:3" x14ac:dyDescent="0.35">
      <c r="A119" t="s">
        <v>445</v>
      </c>
      <c r="B119" t="str">
        <f t="shared" si="1"/>
        <v>Netherlands</v>
      </c>
      <c r="C119">
        <v>57141</v>
      </c>
    </row>
    <row r="120" spans="1:3" x14ac:dyDescent="0.35">
      <c r="A120" t="s">
        <v>447</v>
      </c>
      <c r="B120" t="str">
        <f t="shared" si="1"/>
        <v>New Zealand</v>
      </c>
      <c r="C120">
        <v>42888</v>
      </c>
    </row>
    <row r="121" spans="1:3" x14ac:dyDescent="0.35">
      <c r="A121" t="s">
        <v>360</v>
      </c>
      <c r="B121" t="str">
        <f t="shared" si="1"/>
        <v>Nicaragua</v>
      </c>
      <c r="C121">
        <v>5407</v>
      </c>
    </row>
    <row r="122" spans="1:3" x14ac:dyDescent="0.35">
      <c r="A122" t="s">
        <v>361</v>
      </c>
      <c r="B122" t="str">
        <f t="shared" si="1"/>
        <v>Niger</v>
      </c>
      <c r="C122">
        <v>1219</v>
      </c>
    </row>
    <row r="123" spans="1:3" x14ac:dyDescent="0.35">
      <c r="A123" t="s">
        <v>362</v>
      </c>
      <c r="B123" t="str">
        <f t="shared" si="1"/>
        <v>Nigeria</v>
      </c>
      <c r="C123">
        <v>5136</v>
      </c>
    </row>
    <row r="124" spans="1:3" x14ac:dyDescent="0.35">
      <c r="A124" t="s">
        <v>363</v>
      </c>
      <c r="B124" t="str">
        <f t="shared" si="1"/>
        <v>North Macedonia</v>
      </c>
      <c r="C124">
        <v>16506</v>
      </c>
    </row>
    <row r="125" spans="1:3" x14ac:dyDescent="0.35">
      <c r="A125" t="s">
        <v>446</v>
      </c>
      <c r="B125" t="str">
        <f t="shared" si="1"/>
        <v>Norway</v>
      </c>
      <c r="C125">
        <v>63633</v>
      </c>
    </row>
    <row r="126" spans="1:3" x14ac:dyDescent="0.35">
      <c r="A126" t="s">
        <v>364</v>
      </c>
      <c r="B126" t="str">
        <f t="shared" si="1"/>
        <v>Oman</v>
      </c>
      <c r="C126">
        <v>27896</v>
      </c>
    </row>
    <row r="127" spans="1:3" x14ac:dyDescent="0.35">
      <c r="A127" t="s">
        <v>365</v>
      </c>
      <c r="B127" t="str">
        <f t="shared" si="1"/>
        <v>Pakistan</v>
      </c>
      <c r="C127">
        <v>4690</v>
      </c>
    </row>
    <row r="128" spans="1:3" x14ac:dyDescent="0.35">
      <c r="A128" t="s">
        <v>366</v>
      </c>
      <c r="B128" t="str">
        <f t="shared" si="1"/>
        <v>Palau</v>
      </c>
      <c r="C128">
        <v>18070</v>
      </c>
    </row>
    <row r="129" spans="1:3" x14ac:dyDescent="0.35">
      <c r="A129" t="s">
        <v>367</v>
      </c>
      <c r="B129" t="str">
        <f t="shared" si="1"/>
        <v>Palestine, State of</v>
      </c>
      <c r="C129">
        <v>5662</v>
      </c>
    </row>
    <row r="130" spans="1:3" x14ac:dyDescent="0.35">
      <c r="A130" t="s">
        <v>368</v>
      </c>
      <c r="B130" t="str">
        <f t="shared" ref="B130:B193" si="2">TRIM(A130)</f>
        <v>Panama</v>
      </c>
      <c r="C130">
        <v>31459</v>
      </c>
    </row>
    <row r="131" spans="1:3" x14ac:dyDescent="0.35">
      <c r="A131" t="s">
        <v>369</v>
      </c>
      <c r="B131" t="str">
        <f t="shared" si="2"/>
        <v>Papua New Guinea</v>
      </c>
      <c r="C131">
        <v>4388</v>
      </c>
    </row>
    <row r="132" spans="1:3" x14ac:dyDescent="0.35">
      <c r="A132" t="s">
        <v>370</v>
      </c>
      <c r="B132" t="str">
        <f t="shared" si="2"/>
        <v>Paraguay</v>
      </c>
      <c r="C132">
        <v>12685</v>
      </c>
    </row>
    <row r="133" spans="1:3" x14ac:dyDescent="0.35">
      <c r="A133" t="s">
        <v>371</v>
      </c>
      <c r="B133" t="str">
        <f t="shared" si="2"/>
        <v>Peru</v>
      </c>
      <c r="C133">
        <v>12848</v>
      </c>
    </row>
    <row r="134" spans="1:3" x14ac:dyDescent="0.35">
      <c r="A134" t="s">
        <v>372</v>
      </c>
      <c r="B134" t="str">
        <f t="shared" si="2"/>
        <v>Philippines</v>
      </c>
      <c r="C134">
        <v>8908</v>
      </c>
    </row>
    <row r="135" spans="1:3" x14ac:dyDescent="0.35">
      <c r="A135" t="s">
        <v>373</v>
      </c>
      <c r="B135" t="str">
        <f t="shared" si="2"/>
        <v>Poland</v>
      </c>
      <c r="C135">
        <v>33086</v>
      </c>
    </row>
    <row r="136" spans="1:3" x14ac:dyDescent="0.35">
      <c r="A136" t="s">
        <v>374</v>
      </c>
      <c r="B136" t="str">
        <f t="shared" si="2"/>
        <v>Portugal</v>
      </c>
      <c r="C136">
        <v>34798</v>
      </c>
    </row>
    <row r="137" spans="1:3" x14ac:dyDescent="0.35">
      <c r="A137" t="s">
        <v>375</v>
      </c>
      <c r="B137" t="str">
        <f t="shared" si="2"/>
        <v>Qatar</v>
      </c>
      <c r="C137">
        <v>92651</v>
      </c>
    </row>
    <row r="138" spans="1:3" x14ac:dyDescent="0.35">
      <c r="A138" t="s">
        <v>376</v>
      </c>
      <c r="B138" t="str">
        <f t="shared" si="2"/>
        <v>Romania</v>
      </c>
      <c r="C138">
        <v>29909</v>
      </c>
    </row>
    <row r="139" spans="1:3" x14ac:dyDescent="0.35">
      <c r="A139" t="s">
        <v>377</v>
      </c>
      <c r="B139" t="str">
        <f t="shared" si="2"/>
        <v>Russian Federation</v>
      </c>
      <c r="C139">
        <v>27044</v>
      </c>
    </row>
    <row r="140" spans="1:3" x14ac:dyDescent="0.35">
      <c r="A140" t="s">
        <v>378</v>
      </c>
      <c r="B140" t="str">
        <f t="shared" si="2"/>
        <v>Rwanda</v>
      </c>
      <c r="C140">
        <v>2226</v>
      </c>
    </row>
    <row r="141" spans="1:3" x14ac:dyDescent="0.35">
      <c r="A141" t="s">
        <v>439</v>
      </c>
      <c r="B141" t="str">
        <f t="shared" si="2"/>
        <v>Saint Kitts and Nevis</v>
      </c>
      <c r="C141">
        <v>26357</v>
      </c>
    </row>
    <row r="142" spans="1:3" x14ac:dyDescent="0.35">
      <c r="A142" t="s">
        <v>442</v>
      </c>
      <c r="B142" t="str">
        <f t="shared" si="2"/>
        <v>Saint Lucia</v>
      </c>
      <c r="C142">
        <v>15449</v>
      </c>
    </row>
    <row r="143" spans="1:3" x14ac:dyDescent="0.35">
      <c r="A143" t="s">
        <v>452</v>
      </c>
      <c r="B143" t="str">
        <f t="shared" si="2"/>
        <v>Saint Vincent and the Grenadines</v>
      </c>
      <c r="C143">
        <v>12466</v>
      </c>
    </row>
    <row r="144" spans="1:3" x14ac:dyDescent="0.35">
      <c r="A144" t="s">
        <v>379</v>
      </c>
      <c r="B144" t="str">
        <f t="shared" si="2"/>
        <v>Samoa</v>
      </c>
      <c r="C144">
        <v>6517</v>
      </c>
    </row>
    <row r="145" spans="1:3" x14ac:dyDescent="0.35">
      <c r="A145" t="s">
        <v>380</v>
      </c>
      <c r="B145" t="str">
        <f t="shared" si="2"/>
        <v>San Marino</v>
      </c>
      <c r="C145">
        <v>59350</v>
      </c>
    </row>
    <row r="146" spans="1:3" x14ac:dyDescent="0.35">
      <c r="A146" t="s">
        <v>381</v>
      </c>
      <c r="B146" t="str">
        <f t="shared" si="2"/>
        <v>Sao Tome and Principe</v>
      </c>
      <c r="C146">
        <v>3964</v>
      </c>
    </row>
    <row r="147" spans="1:3" x14ac:dyDescent="0.35">
      <c r="A147" t="s">
        <v>382</v>
      </c>
      <c r="B147" t="str">
        <f t="shared" si="2"/>
        <v>Saudi Arabia</v>
      </c>
      <c r="C147">
        <v>46962</v>
      </c>
    </row>
    <row r="148" spans="1:3" x14ac:dyDescent="0.35">
      <c r="A148" t="s">
        <v>383</v>
      </c>
      <c r="B148" t="str">
        <f t="shared" si="2"/>
        <v>Senegal</v>
      </c>
      <c r="C148">
        <v>3395</v>
      </c>
    </row>
    <row r="149" spans="1:3" x14ac:dyDescent="0.35">
      <c r="A149" t="s">
        <v>384</v>
      </c>
      <c r="B149" t="str">
        <f t="shared" si="2"/>
        <v>Serbia</v>
      </c>
      <c r="C149">
        <v>18180</v>
      </c>
    </row>
    <row r="150" spans="1:3" x14ac:dyDescent="0.35">
      <c r="A150" t="s">
        <v>385</v>
      </c>
      <c r="B150" t="str">
        <f t="shared" si="2"/>
        <v>Seychelles</v>
      </c>
      <c r="C150">
        <v>29056</v>
      </c>
    </row>
    <row r="151" spans="1:3" x14ac:dyDescent="0.35">
      <c r="A151" t="s">
        <v>386</v>
      </c>
      <c r="B151" t="str">
        <f t="shared" si="2"/>
        <v>Sierra Leone</v>
      </c>
      <c r="C151">
        <v>1718</v>
      </c>
    </row>
    <row r="152" spans="1:3" x14ac:dyDescent="0.35">
      <c r="A152" t="s">
        <v>387</v>
      </c>
      <c r="B152" t="str">
        <f t="shared" si="2"/>
        <v>Singapore</v>
      </c>
      <c r="C152">
        <v>97341</v>
      </c>
    </row>
    <row r="153" spans="1:3" x14ac:dyDescent="0.35">
      <c r="A153" t="s">
        <v>448</v>
      </c>
      <c r="B153" t="str">
        <f t="shared" si="2"/>
        <v>Slovakia</v>
      </c>
      <c r="C153">
        <v>32793</v>
      </c>
    </row>
    <row r="154" spans="1:3" x14ac:dyDescent="0.35">
      <c r="A154" t="s">
        <v>388</v>
      </c>
      <c r="B154" t="str">
        <f t="shared" si="2"/>
        <v>Slovenia</v>
      </c>
      <c r="C154">
        <v>38689</v>
      </c>
    </row>
    <row r="155" spans="1:3" x14ac:dyDescent="0.35">
      <c r="A155" t="s">
        <v>389</v>
      </c>
      <c r="B155" t="str">
        <f t="shared" si="2"/>
        <v>Solomon Islands</v>
      </c>
      <c r="C155">
        <v>2367</v>
      </c>
    </row>
    <row r="156" spans="1:3" x14ac:dyDescent="0.35">
      <c r="A156" t="s">
        <v>390</v>
      </c>
      <c r="B156" t="str">
        <f t="shared" si="2"/>
        <v>South Africa</v>
      </c>
      <c r="C156">
        <v>12482</v>
      </c>
    </row>
    <row r="157" spans="1:3" x14ac:dyDescent="0.35">
      <c r="A157" t="s">
        <v>392</v>
      </c>
      <c r="B157" t="str">
        <f t="shared" si="2"/>
        <v>Spain</v>
      </c>
      <c r="C157">
        <v>40883</v>
      </c>
    </row>
    <row r="158" spans="1:3" x14ac:dyDescent="0.35">
      <c r="A158" t="s">
        <v>393</v>
      </c>
      <c r="B158" t="str">
        <f t="shared" si="2"/>
        <v>Sri Lanka</v>
      </c>
      <c r="C158">
        <v>13078</v>
      </c>
    </row>
    <row r="159" spans="1:3" x14ac:dyDescent="0.35">
      <c r="A159" t="s">
        <v>394</v>
      </c>
      <c r="B159" t="str">
        <f t="shared" si="2"/>
        <v>Sudan</v>
      </c>
      <c r="C159">
        <v>3958</v>
      </c>
    </row>
    <row r="160" spans="1:3" x14ac:dyDescent="0.35">
      <c r="A160" t="s">
        <v>395</v>
      </c>
      <c r="B160" t="str">
        <f t="shared" si="2"/>
        <v>Suriname</v>
      </c>
      <c r="C160">
        <v>16329</v>
      </c>
    </row>
    <row r="161" spans="1:3" x14ac:dyDescent="0.35">
      <c r="A161" t="s">
        <v>449</v>
      </c>
      <c r="B161" t="str">
        <f t="shared" si="2"/>
        <v>Sweden</v>
      </c>
      <c r="C161">
        <v>53205</v>
      </c>
    </row>
    <row r="162" spans="1:3" x14ac:dyDescent="0.35">
      <c r="A162" t="s">
        <v>423</v>
      </c>
      <c r="B162" t="str">
        <f t="shared" si="2"/>
        <v>Switzerland</v>
      </c>
      <c r="C162">
        <v>68628</v>
      </c>
    </row>
    <row r="163" spans="1:3" x14ac:dyDescent="0.35">
      <c r="A163" t="s">
        <v>396</v>
      </c>
      <c r="B163" t="str">
        <f t="shared" si="2"/>
        <v>Tajikistan</v>
      </c>
      <c r="C163">
        <v>3380</v>
      </c>
    </row>
    <row r="164" spans="1:3" x14ac:dyDescent="0.35">
      <c r="A164" t="s">
        <v>397</v>
      </c>
      <c r="B164" t="str">
        <f t="shared" si="2"/>
        <v>Tanzania (United Republic of)</v>
      </c>
      <c r="C164">
        <v>2660</v>
      </c>
    </row>
    <row r="165" spans="1:3" x14ac:dyDescent="0.35">
      <c r="A165" t="s">
        <v>398</v>
      </c>
      <c r="B165" t="str">
        <f t="shared" si="2"/>
        <v>Thailand</v>
      </c>
      <c r="C165">
        <v>18463</v>
      </c>
    </row>
    <row r="166" spans="1:3" x14ac:dyDescent="0.35">
      <c r="A166" t="s">
        <v>399</v>
      </c>
      <c r="B166" t="str">
        <f t="shared" si="2"/>
        <v>Timor-Leste</v>
      </c>
      <c r="C166">
        <v>3123</v>
      </c>
    </row>
    <row r="167" spans="1:3" x14ac:dyDescent="0.35">
      <c r="A167" t="s">
        <v>400</v>
      </c>
      <c r="B167" t="str">
        <f t="shared" si="2"/>
        <v>Togo</v>
      </c>
      <c r="C167">
        <v>1596</v>
      </c>
    </row>
    <row r="168" spans="1:3" x14ac:dyDescent="0.35">
      <c r="A168" t="s">
        <v>401</v>
      </c>
      <c r="B168" t="str">
        <f t="shared" si="2"/>
        <v>Tonga</v>
      </c>
      <c r="C168">
        <v>6267</v>
      </c>
    </row>
    <row r="169" spans="1:3" x14ac:dyDescent="0.35">
      <c r="A169" t="s">
        <v>402</v>
      </c>
      <c r="B169" t="str">
        <f t="shared" si="2"/>
        <v>Trinidad and Tobago</v>
      </c>
      <c r="C169">
        <v>26176</v>
      </c>
    </row>
    <row r="170" spans="1:3" x14ac:dyDescent="0.35">
      <c r="A170" t="s">
        <v>403</v>
      </c>
      <c r="B170" t="str">
        <f t="shared" si="2"/>
        <v>Tunisia</v>
      </c>
      <c r="C170">
        <v>10756</v>
      </c>
    </row>
    <row r="171" spans="1:3" x14ac:dyDescent="0.35">
      <c r="A171" t="s">
        <v>404</v>
      </c>
      <c r="B171" t="str">
        <f t="shared" si="2"/>
        <v>Turkey</v>
      </c>
      <c r="C171">
        <v>28167</v>
      </c>
    </row>
    <row r="172" spans="1:3" x14ac:dyDescent="0.35">
      <c r="A172" t="s">
        <v>405</v>
      </c>
      <c r="B172" t="str">
        <f t="shared" si="2"/>
        <v>Turkmenistan</v>
      </c>
      <c r="C172">
        <v>14845</v>
      </c>
    </row>
    <row r="173" spans="1:3" x14ac:dyDescent="0.35">
      <c r="A173" t="s">
        <v>479</v>
      </c>
      <c r="B173" t="str">
        <f t="shared" si="2"/>
        <v>Tuvalu</v>
      </c>
      <c r="C173">
        <v>4288</v>
      </c>
    </row>
    <row r="174" spans="1:3" x14ac:dyDescent="0.35">
      <c r="A174" t="s">
        <v>406</v>
      </c>
      <c r="B174" t="str">
        <f t="shared" si="2"/>
        <v>Uganda</v>
      </c>
      <c r="C174">
        <v>2181</v>
      </c>
    </row>
    <row r="175" spans="1:3" x14ac:dyDescent="0.35">
      <c r="A175" t="s">
        <v>407</v>
      </c>
      <c r="B175" t="str">
        <f t="shared" si="2"/>
        <v>Ukraine</v>
      </c>
      <c r="C175">
        <v>12810</v>
      </c>
    </row>
    <row r="176" spans="1:3" x14ac:dyDescent="0.35">
      <c r="A176" t="s">
        <v>408</v>
      </c>
      <c r="B176" t="str">
        <f t="shared" si="2"/>
        <v>United Arab Emirates</v>
      </c>
      <c r="C176">
        <v>67119</v>
      </c>
    </row>
    <row r="177" spans="1:3" x14ac:dyDescent="0.35">
      <c r="A177" t="s">
        <v>473</v>
      </c>
      <c r="B177" t="str">
        <f t="shared" si="2"/>
        <v>The United Kingdom</v>
      </c>
      <c r="C177">
        <v>46699</v>
      </c>
    </row>
    <row r="178" spans="1:3" x14ac:dyDescent="0.35">
      <c r="A178" t="s">
        <v>472</v>
      </c>
      <c r="B178" t="str">
        <f t="shared" si="2"/>
        <v>United States of America</v>
      </c>
      <c r="C178">
        <v>62683</v>
      </c>
    </row>
    <row r="179" spans="1:3" x14ac:dyDescent="0.35">
      <c r="A179" t="s">
        <v>409</v>
      </c>
      <c r="B179" t="str">
        <f t="shared" si="2"/>
        <v>Uruguay</v>
      </c>
      <c r="C179">
        <v>21561</v>
      </c>
    </row>
    <row r="180" spans="1:3" x14ac:dyDescent="0.35">
      <c r="A180" t="s">
        <v>410</v>
      </c>
      <c r="B180" t="str">
        <f t="shared" si="2"/>
        <v>Uzbekistan</v>
      </c>
      <c r="C180">
        <v>6999</v>
      </c>
    </row>
    <row r="181" spans="1:3" x14ac:dyDescent="0.35">
      <c r="A181" t="s">
        <v>411</v>
      </c>
      <c r="B181" t="str">
        <f t="shared" si="2"/>
        <v>Vanuatu</v>
      </c>
      <c r="C181">
        <v>3144</v>
      </c>
    </row>
    <row r="182" spans="1:3" x14ac:dyDescent="0.35">
      <c r="A182" t="s">
        <v>413</v>
      </c>
      <c r="B182" t="str">
        <f t="shared" si="2"/>
        <v>Viet Nam</v>
      </c>
      <c r="C182">
        <v>8041</v>
      </c>
    </row>
    <row r="183" spans="1:3" x14ac:dyDescent="0.35">
      <c r="A183" t="s">
        <v>414</v>
      </c>
      <c r="B183" t="str">
        <f t="shared" si="2"/>
        <v>Zambia</v>
      </c>
      <c r="C183">
        <v>3479</v>
      </c>
    </row>
    <row r="184" spans="1:3" x14ac:dyDescent="0.35">
      <c r="A184" t="s">
        <v>415</v>
      </c>
      <c r="B184" t="str">
        <f t="shared" si="2"/>
        <v>Zimbabwe</v>
      </c>
      <c r="C184">
        <v>2836</v>
      </c>
    </row>
    <row r="185" spans="1:3" x14ac:dyDescent="0.35">
      <c r="A185" t="s">
        <v>416</v>
      </c>
      <c r="B185" t="str">
        <f t="shared" si="2"/>
        <v>Andorra</v>
      </c>
      <c r="C185" t="s">
        <v>471</v>
      </c>
    </row>
    <row r="186" spans="1:3" x14ac:dyDescent="0.35">
      <c r="A186" t="s">
        <v>298</v>
      </c>
      <c r="B186" t="str">
        <f t="shared" si="2"/>
        <v>Cuba</v>
      </c>
      <c r="C186" t="s">
        <v>471</v>
      </c>
    </row>
    <row r="187" spans="1:3" x14ac:dyDescent="0.35">
      <c r="A187" t="s">
        <v>306</v>
      </c>
      <c r="B187" t="str">
        <f t="shared" si="2"/>
        <v>Eritrea</v>
      </c>
      <c r="C187" t="s">
        <v>471</v>
      </c>
    </row>
    <row r="188" spans="1:3" x14ac:dyDescent="0.35">
      <c r="A188" t="s">
        <v>443</v>
      </c>
      <c r="B188" t="str">
        <f t="shared" si="2"/>
        <v>Liechtenstein</v>
      </c>
      <c r="C188" t="s">
        <v>471</v>
      </c>
    </row>
    <row r="189" spans="1:3" x14ac:dyDescent="0.35">
      <c r="A189" t="s">
        <v>391</v>
      </c>
      <c r="B189" t="str">
        <f t="shared" si="2"/>
        <v>South Sudan</v>
      </c>
      <c r="C189" t="s">
        <v>471</v>
      </c>
    </row>
    <row r="190" spans="1:3" x14ac:dyDescent="0.35">
      <c r="A190" t="s">
        <v>450</v>
      </c>
      <c r="B190" t="str">
        <f t="shared" si="2"/>
        <v>Syrian Arab Republic</v>
      </c>
      <c r="C190" t="s">
        <v>471</v>
      </c>
    </row>
    <row r="191" spans="1:3" x14ac:dyDescent="0.35">
      <c r="A191" t="s">
        <v>412</v>
      </c>
      <c r="B191" t="str">
        <f t="shared" si="2"/>
        <v>Venezuela (Bolivarian Republic of)</v>
      </c>
      <c r="C191" t="s">
        <v>471</v>
      </c>
    </row>
    <row r="192" spans="1:3" x14ac:dyDescent="0.35">
      <c r="A192" t="s">
        <v>453</v>
      </c>
      <c r="B192" t="str">
        <f t="shared" si="2"/>
        <v>Yemen</v>
      </c>
      <c r="C192" t="s">
        <v>471</v>
      </c>
    </row>
    <row r="193" spans="1:3" x14ac:dyDescent="0.35">
      <c r="A193" t="s">
        <v>454</v>
      </c>
      <c r="B193" t="str">
        <f t="shared" si="2"/>
        <v>Human Development</v>
      </c>
      <c r="C193" t="s">
        <v>471</v>
      </c>
    </row>
    <row r="194" spans="1:3" x14ac:dyDescent="0.35">
      <c r="A194" t="s">
        <v>455</v>
      </c>
      <c r="B194" t="str">
        <f t="shared" ref="B194:B209" si="3">TRIM(A194)</f>
        <v>Very high human development</v>
      </c>
      <c r="C194">
        <v>44454</v>
      </c>
    </row>
    <row r="195" spans="1:3" x14ac:dyDescent="0.35">
      <c r="A195" t="s">
        <v>456</v>
      </c>
      <c r="B195" t="str">
        <f t="shared" si="3"/>
        <v>High human development</v>
      </c>
      <c r="C195">
        <v>14569</v>
      </c>
    </row>
    <row r="196" spans="1:3" x14ac:dyDescent="0.35">
      <c r="A196" t="s">
        <v>457</v>
      </c>
      <c r="B196" t="str">
        <f t="shared" si="3"/>
        <v>Medium human development</v>
      </c>
      <c r="C196">
        <v>6205</v>
      </c>
    </row>
    <row r="197" spans="1:3" x14ac:dyDescent="0.35">
      <c r="A197" t="s">
        <v>458</v>
      </c>
      <c r="B197" t="str">
        <f t="shared" si="3"/>
        <v>Low human development</v>
      </c>
      <c r="C197">
        <v>2879</v>
      </c>
    </row>
    <row r="198" spans="1:3" x14ac:dyDescent="0.35">
      <c r="A198" t="s">
        <v>459</v>
      </c>
      <c r="B198" t="str">
        <f t="shared" si="3"/>
        <v>Developing Countries</v>
      </c>
      <c r="C198">
        <v>10845</v>
      </c>
    </row>
    <row r="199" spans="1:3" x14ac:dyDescent="0.35">
      <c r="A199" t="s">
        <v>460</v>
      </c>
      <c r="B199" t="str">
        <f t="shared" si="3"/>
        <v>Regions</v>
      </c>
      <c r="C199" t="s">
        <v>471</v>
      </c>
    </row>
    <row r="200" spans="1:3" x14ac:dyDescent="0.35">
      <c r="A200" t="s">
        <v>461</v>
      </c>
      <c r="B200" t="str">
        <f t="shared" si="3"/>
        <v>Arab States</v>
      </c>
      <c r="C200">
        <v>16487</v>
      </c>
    </row>
    <row r="201" spans="1:3" x14ac:dyDescent="0.35">
      <c r="A201" t="s">
        <v>462</v>
      </c>
      <c r="B201" t="str">
        <f t="shared" si="3"/>
        <v>East Asia and the Pacific</v>
      </c>
      <c r="C201">
        <v>14848</v>
      </c>
    </row>
    <row r="202" spans="1:3" x14ac:dyDescent="0.35">
      <c r="A202" t="s">
        <v>463</v>
      </c>
      <c r="B202" t="str">
        <f t="shared" si="3"/>
        <v>Europe and Central Asia</v>
      </c>
      <c r="C202">
        <v>18337</v>
      </c>
    </row>
    <row r="203" spans="1:3" x14ac:dyDescent="0.35">
      <c r="A203" t="s">
        <v>464</v>
      </c>
      <c r="B203" t="str">
        <f t="shared" si="3"/>
        <v>Latin America and the Caribbean</v>
      </c>
      <c r="C203">
        <v>15808</v>
      </c>
    </row>
    <row r="204" spans="1:3" x14ac:dyDescent="0.35">
      <c r="A204" t="s">
        <v>465</v>
      </c>
      <c r="B204" t="str">
        <f t="shared" si="3"/>
        <v>South Asia</v>
      </c>
      <c r="C204">
        <v>6623</v>
      </c>
    </row>
    <row r="205" spans="1:3" x14ac:dyDescent="0.35">
      <c r="A205" t="s">
        <v>466</v>
      </c>
      <c r="B205" t="str">
        <f t="shared" si="3"/>
        <v>Sub-Saharan Africa</v>
      </c>
      <c r="C205">
        <v>3840</v>
      </c>
    </row>
    <row r="206" spans="1:3" x14ac:dyDescent="0.35">
      <c r="A206" t="s">
        <v>467</v>
      </c>
      <c r="B206" t="str">
        <f t="shared" si="3"/>
        <v>Least Developed Countries</v>
      </c>
      <c r="C206">
        <v>3010</v>
      </c>
    </row>
    <row r="207" spans="1:3" x14ac:dyDescent="0.35">
      <c r="A207" t="s">
        <v>468</v>
      </c>
      <c r="B207" t="str">
        <f t="shared" si="3"/>
        <v>Small Island Developing States</v>
      </c>
      <c r="C207">
        <v>19770</v>
      </c>
    </row>
    <row r="208" spans="1:3" x14ac:dyDescent="0.35">
      <c r="A208" t="s">
        <v>469</v>
      </c>
      <c r="B208" t="str">
        <f t="shared" si="3"/>
        <v>Organization for Economic Co-operation and Development</v>
      </c>
      <c r="C208">
        <v>44701</v>
      </c>
    </row>
    <row r="209" spans="1:3" x14ac:dyDescent="0.35">
      <c r="A209" t="s">
        <v>470</v>
      </c>
      <c r="B209" t="str">
        <f t="shared" si="3"/>
        <v>World</v>
      </c>
      <c r="C209">
        <v>16980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9"/>
  <sheetViews>
    <sheetView topLeftCell="A28" workbookViewId="0">
      <selection activeCell="C37" sqref="C37:C38"/>
    </sheetView>
  </sheetViews>
  <sheetFormatPr defaultRowHeight="14.5" x14ac:dyDescent="0.35"/>
  <cols>
    <col min="1" max="1" width="32.1796875" customWidth="1"/>
    <col min="2" max="2" width="32.6328125" customWidth="1"/>
  </cols>
  <sheetData>
    <row r="1" spans="1:3" x14ac:dyDescent="0.35">
      <c r="A1" t="s">
        <v>263</v>
      </c>
      <c r="B1" t="str">
        <f>TRIM(A1)</f>
        <v>Afghanistan</v>
      </c>
      <c r="C1">
        <v>4.0999999999999996</v>
      </c>
    </row>
    <row r="2" spans="1:3" x14ac:dyDescent="0.35">
      <c r="A2" t="s">
        <v>264</v>
      </c>
      <c r="B2" t="str">
        <f t="shared" ref="B2:B65" si="0">TRIM(A2)</f>
        <v>Albania</v>
      </c>
      <c r="C2">
        <v>2.5</v>
      </c>
    </row>
    <row r="3" spans="1:3" x14ac:dyDescent="0.35">
      <c r="A3" t="s">
        <v>416</v>
      </c>
      <c r="B3" t="str">
        <f t="shared" si="0"/>
        <v>Andorra</v>
      </c>
      <c r="C3">
        <v>3.2</v>
      </c>
    </row>
    <row r="4" spans="1:3" x14ac:dyDescent="0.35">
      <c r="A4" t="s">
        <v>266</v>
      </c>
      <c r="B4" t="str">
        <f t="shared" si="0"/>
        <v>Angola</v>
      </c>
      <c r="C4" t="s">
        <v>471</v>
      </c>
    </row>
    <row r="5" spans="1:3" x14ac:dyDescent="0.35">
      <c r="A5" t="s">
        <v>268</v>
      </c>
      <c r="B5" t="str">
        <f t="shared" si="0"/>
        <v>Argentina</v>
      </c>
      <c r="C5">
        <v>5.5</v>
      </c>
    </row>
    <row r="6" spans="1:3" x14ac:dyDescent="0.35">
      <c r="A6" t="s">
        <v>269</v>
      </c>
      <c r="B6" t="str">
        <f t="shared" si="0"/>
        <v>Armenia</v>
      </c>
      <c r="C6">
        <v>2.7</v>
      </c>
    </row>
    <row r="7" spans="1:3" x14ac:dyDescent="0.35">
      <c r="A7" t="s">
        <v>417</v>
      </c>
      <c r="B7" t="str">
        <f t="shared" si="0"/>
        <v>Australia</v>
      </c>
      <c r="C7">
        <v>5.3</v>
      </c>
    </row>
    <row r="8" spans="1:3" x14ac:dyDescent="0.35">
      <c r="A8" t="s">
        <v>418</v>
      </c>
      <c r="B8" t="str">
        <f t="shared" si="0"/>
        <v>Austria</v>
      </c>
      <c r="C8">
        <v>5.5</v>
      </c>
    </row>
    <row r="9" spans="1:3" x14ac:dyDescent="0.35">
      <c r="A9" t="s">
        <v>270</v>
      </c>
      <c r="B9" t="str">
        <f t="shared" si="0"/>
        <v>Azerbaijan</v>
      </c>
      <c r="C9">
        <v>2.5</v>
      </c>
    </row>
    <row r="10" spans="1:3" x14ac:dyDescent="0.35">
      <c r="A10" t="s">
        <v>420</v>
      </c>
      <c r="B10" t="str">
        <f t="shared" si="0"/>
        <v>Bahamas</v>
      </c>
      <c r="C10" t="s">
        <v>471</v>
      </c>
    </row>
    <row r="11" spans="1:3" x14ac:dyDescent="0.35">
      <c r="A11" t="s">
        <v>271</v>
      </c>
      <c r="B11" t="str">
        <f t="shared" si="0"/>
        <v>Bahrain</v>
      </c>
      <c r="C11">
        <v>2.2999999999999998</v>
      </c>
    </row>
    <row r="12" spans="1:3" x14ac:dyDescent="0.35">
      <c r="A12" t="s">
        <v>272</v>
      </c>
      <c r="B12" t="str">
        <f t="shared" si="0"/>
        <v>Bangladesh</v>
      </c>
      <c r="C12">
        <v>2</v>
      </c>
    </row>
    <row r="13" spans="1:3" x14ac:dyDescent="0.35">
      <c r="A13" t="s">
        <v>273</v>
      </c>
      <c r="B13" t="str">
        <f t="shared" si="0"/>
        <v>Barbados</v>
      </c>
      <c r="C13">
        <v>4.7</v>
      </c>
    </row>
    <row r="14" spans="1:3" x14ac:dyDescent="0.35">
      <c r="A14" t="s">
        <v>274</v>
      </c>
      <c r="B14" t="str">
        <f t="shared" si="0"/>
        <v>Belarus</v>
      </c>
      <c r="C14">
        <v>4.8</v>
      </c>
    </row>
    <row r="15" spans="1:3" x14ac:dyDescent="0.35">
      <c r="A15" t="s">
        <v>419</v>
      </c>
      <c r="B15" t="str">
        <f t="shared" si="0"/>
        <v>Belgium</v>
      </c>
      <c r="C15">
        <v>6.5</v>
      </c>
    </row>
    <row r="16" spans="1:3" x14ac:dyDescent="0.35">
      <c r="A16" t="s">
        <v>421</v>
      </c>
      <c r="B16" t="str">
        <f t="shared" si="0"/>
        <v>Belize</v>
      </c>
      <c r="C16">
        <v>7.4</v>
      </c>
    </row>
    <row r="17" spans="1:3" x14ac:dyDescent="0.35">
      <c r="A17" t="s">
        <v>275</v>
      </c>
      <c r="B17" t="str">
        <f t="shared" si="0"/>
        <v>Benin</v>
      </c>
      <c r="C17">
        <v>4</v>
      </c>
    </row>
    <row r="18" spans="1:3" x14ac:dyDescent="0.35">
      <c r="A18" t="s">
        <v>276</v>
      </c>
      <c r="B18" t="str">
        <f t="shared" si="0"/>
        <v>Bhutan</v>
      </c>
      <c r="C18">
        <v>6.6</v>
      </c>
    </row>
    <row r="19" spans="1:3" x14ac:dyDescent="0.35">
      <c r="A19" t="s">
        <v>279</v>
      </c>
      <c r="B19" t="str">
        <f t="shared" si="0"/>
        <v>Botswana</v>
      </c>
      <c r="C19" t="s">
        <v>471</v>
      </c>
    </row>
    <row r="20" spans="1:3" x14ac:dyDescent="0.35">
      <c r="A20" t="s">
        <v>280</v>
      </c>
      <c r="B20" t="str">
        <f t="shared" si="0"/>
        <v>Brazil</v>
      </c>
      <c r="C20">
        <v>6.2</v>
      </c>
    </row>
    <row r="21" spans="1:3" x14ac:dyDescent="0.35">
      <c r="A21" t="s">
        <v>281</v>
      </c>
      <c r="B21" t="str">
        <f t="shared" si="0"/>
        <v>Brunei Darussalam</v>
      </c>
      <c r="C21">
        <v>4.4000000000000004</v>
      </c>
    </row>
    <row r="22" spans="1:3" x14ac:dyDescent="0.35">
      <c r="A22" t="s">
        <v>282</v>
      </c>
      <c r="B22" t="str">
        <f t="shared" si="0"/>
        <v>Bulgaria</v>
      </c>
      <c r="C22">
        <v>4.0999999999999996</v>
      </c>
    </row>
    <row r="23" spans="1:3" x14ac:dyDescent="0.35">
      <c r="A23" t="s">
        <v>283</v>
      </c>
      <c r="B23" t="str">
        <f t="shared" si="0"/>
        <v>Burkina Faso</v>
      </c>
      <c r="C23">
        <v>6</v>
      </c>
    </row>
    <row r="24" spans="1:3" x14ac:dyDescent="0.35">
      <c r="A24" t="s">
        <v>284</v>
      </c>
      <c r="B24" t="str">
        <f t="shared" si="0"/>
        <v>Burundi</v>
      </c>
      <c r="C24">
        <v>5</v>
      </c>
    </row>
    <row r="25" spans="1:3" x14ac:dyDescent="0.35">
      <c r="A25" t="s">
        <v>285</v>
      </c>
      <c r="B25" t="str">
        <f t="shared" si="0"/>
        <v>Cabo Verde</v>
      </c>
      <c r="C25">
        <v>5.2</v>
      </c>
    </row>
    <row r="26" spans="1:3" x14ac:dyDescent="0.35">
      <c r="A26" t="s">
        <v>286</v>
      </c>
      <c r="B26" t="str">
        <f t="shared" si="0"/>
        <v>Cambodia</v>
      </c>
      <c r="C26">
        <v>2.2000000000000002</v>
      </c>
    </row>
    <row r="27" spans="1:3" x14ac:dyDescent="0.35">
      <c r="A27" t="s">
        <v>287</v>
      </c>
      <c r="B27" t="str">
        <f t="shared" si="0"/>
        <v>Cameroon</v>
      </c>
      <c r="C27">
        <v>3.1</v>
      </c>
    </row>
    <row r="28" spans="1:3" x14ac:dyDescent="0.35">
      <c r="A28" t="s">
        <v>422</v>
      </c>
      <c r="B28" t="str">
        <f t="shared" si="0"/>
        <v>Canada</v>
      </c>
      <c r="C28" t="s">
        <v>471</v>
      </c>
    </row>
    <row r="29" spans="1:3" x14ac:dyDescent="0.35">
      <c r="A29" t="s">
        <v>288</v>
      </c>
      <c r="B29" t="str">
        <f t="shared" si="0"/>
        <v>Central African Republic</v>
      </c>
      <c r="C29" t="s">
        <v>471</v>
      </c>
    </row>
    <row r="30" spans="1:3" x14ac:dyDescent="0.35">
      <c r="A30" t="s">
        <v>289</v>
      </c>
      <c r="B30" t="str">
        <f t="shared" si="0"/>
        <v>Chad</v>
      </c>
      <c r="C30">
        <v>2.2000000000000002</v>
      </c>
    </row>
    <row r="31" spans="1:3" x14ac:dyDescent="0.35">
      <c r="A31" t="s">
        <v>290</v>
      </c>
      <c r="B31" t="str">
        <f t="shared" si="0"/>
        <v>Chile</v>
      </c>
      <c r="C31">
        <v>5.4</v>
      </c>
    </row>
    <row r="32" spans="1:3" x14ac:dyDescent="0.35">
      <c r="A32" t="s">
        <v>291</v>
      </c>
      <c r="B32" t="str">
        <f t="shared" si="0"/>
        <v>China</v>
      </c>
      <c r="C32" t="s">
        <v>471</v>
      </c>
    </row>
    <row r="33" spans="1:3" x14ac:dyDescent="0.35">
      <c r="A33" t="s">
        <v>292</v>
      </c>
      <c r="B33" t="str">
        <f t="shared" si="0"/>
        <v>Colombia</v>
      </c>
      <c r="C33">
        <v>4.5</v>
      </c>
    </row>
    <row r="34" spans="1:3" x14ac:dyDescent="0.35">
      <c r="A34" t="s">
        <v>293</v>
      </c>
      <c r="B34" t="str">
        <f t="shared" si="0"/>
        <v>Comoros</v>
      </c>
      <c r="C34">
        <v>2.5</v>
      </c>
    </row>
    <row r="35" spans="1:3" x14ac:dyDescent="0.35">
      <c r="A35" t="s">
        <v>294</v>
      </c>
      <c r="B35" t="str">
        <f t="shared" si="0"/>
        <v>Congo</v>
      </c>
      <c r="C35">
        <v>3.6</v>
      </c>
    </row>
    <row r="36" spans="1:3" x14ac:dyDescent="0.35">
      <c r="A36" t="s">
        <v>295</v>
      </c>
      <c r="B36" t="str">
        <f t="shared" si="0"/>
        <v>Congo (Democratic Republic of the)</v>
      </c>
      <c r="C36">
        <v>1.5</v>
      </c>
    </row>
    <row r="37" spans="1:3" x14ac:dyDescent="0.35">
      <c r="A37" t="s">
        <v>296</v>
      </c>
      <c r="B37" t="str">
        <f t="shared" si="0"/>
        <v>Costa Rica</v>
      </c>
      <c r="C37">
        <v>7</v>
      </c>
    </row>
    <row r="38" spans="1:3" x14ac:dyDescent="0.35">
      <c r="A38" t="s">
        <v>297</v>
      </c>
      <c r="B38" t="str">
        <f t="shared" si="0"/>
        <v>Croatia</v>
      </c>
      <c r="C38">
        <v>4.5999999999999996</v>
      </c>
    </row>
    <row r="39" spans="1:3" x14ac:dyDescent="0.35">
      <c r="A39" t="s">
        <v>298</v>
      </c>
      <c r="B39" t="str">
        <f t="shared" si="0"/>
        <v>Cuba</v>
      </c>
      <c r="C39" t="s">
        <v>471</v>
      </c>
    </row>
    <row r="40" spans="1:3" x14ac:dyDescent="0.35">
      <c r="A40" t="s">
        <v>299</v>
      </c>
      <c r="B40" t="str">
        <f t="shared" si="0"/>
        <v>Cyprus</v>
      </c>
      <c r="C40">
        <v>6.3</v>
      </c>
    </row>
    <row r="41" spans="1:3" x14ac:dyDescent="0.35">
      <c r="A41" t="s">
        <v>424</v>
      </c>
      <c r="B41" t="str">
        <f t="shared" si="0"/>
        <v>Czechia</v>
      </c>
      <c r="C41">
        <v>5.6</v>
      </c>
    </row>
    <row r="42" spans="1:3" x14ac:dyDescent="0.35">
      <c r="A42" t="s">
        <v>300</v>
      </c>
      <c r="B42" t="str">
        <f t="shared" si="0"/>
        <v>Côte d'Ivoire</v>
      </c>
      <c r="C42">
        <v>4.4000000000000004</v>
      </c>
    </row>
    <row r="43" spans="1:3" x14ac:dyDescent="0.35">
      <c r="A43" t="s">
        <v>428</v>
      </c>
      <c r="B43" t="str">
        <f t="shared" si="0"/>
        <v>Denmark</v>
      </c>
      <c r="C43">
        <v>7.6</v>
      </c>
    </row>
    <row r="44" spans="1:3" x14ac:dyDescent="0.35">
      <c r="A44" t="s">
        <v>426</v>
      </c>
      <c r="B44" t="str">
        <f t="shared" si="0"/>
        <v>Djibouti</v>
      </c>
      <c r="C44">
        <v>5.6</v>
      </c>
    </row>
    <row r="45" spans="1:3" x14ac:dyDescent="0.35">
      <c r="A45" t="s">
        <v>427</v>
      </c>
      <c r="B45" t="str">
        <f t="shared" si="0"/>
        <v>Dominica</v>
      </c>
      <c r="C45">
        <v>3.4</v>
      </c>
    </row>
    <row r="46" spans="1:3" x14ac:dyDescent="0.35">
      <c r="A46" t="s">
        <v>301</v>
      </c>
      <c r="B46" t="str">
        <f t="shared" si="0"/>
        <v>Dominican Republic</v>
      </c>
      <c r="C46" t="s">
        <v>471</v>
      </c>
    </row>
    <row r="47" spans="1:3" x14ac:dyDescent="0.35">
      <c r="A47" t="s">
        <v>302</v>
      </c>
      <c r="B47" t="str">
        <f t="shared" si="0"/>
        <v>Ecuador</v>
      </c>
      <c r="C47">
        <v>5</v>
      </c>
    </row>
    <row r="48" spans="1:3" x14ac:dyDescent="0.35">
      <c r="A48" t="s">
        <v>303</v>
      </c>
      <c r="B48" t="str">
        <f t="shared" si="0"/>
        <v>Egypt</v>
      </c>
      <c r="C48" t="s">
        <v>471</v>
      </c>
    </row>
    <row r="49" spans="1:3" x14ac:dyDescent="0.35">
      <c r="A49" t="s">
        <v>304</v>
      </c>
      <c r="B49" t="str">
        <f t="shared" si="0"/>
        <v>El Salvador</v>
      </c>
      <c r="C49">
        <v>3.6</v>
      </c>
    </row>
    <row r="50" spans="1:3" x14ac:dyDescent="0.35">
      <c r="A50" t="s">
        <v>307</v>
      </c>
      <c r="B50" t="str">
        <f t="shared" si="0"/>
        <v>Estonia</v>
      </c>
      <c r="C50">
        <v>5.2</v>
      </c>
    </row>
    <row r="51" spans="1:3" x14ac:dyDescent="0.35">
      <c r="A51" t="s">
        <v>308</v>
      </c>
      <c r="B51" t="str">
        <f t="shared" si="0"/>
        <v>Eswatini (Kingdom of)</v>
      </c>
      <c r="C51">
        <v>7.1</v>
      </c>
    </row>
    <row r="52" spans="1:3" x14ac:dyDescent="0.35">
      <c r="A52" t="s">
        <v>309</v>
      </c>
      <c r="B52" t="str">
        <f t="shared" si="0"/>
        <v>Ethiopia</v>
      </c>
      <c r="C52">
        <v>4.7</v>
      </c>
    </row>
    <row r="53" spans="1:3" x14ac:dyDescent="0.35">
      <c r="A53" t="s">
        <v>310</v>
      </c>
      <c r="B53" t="str">
        <f t="shared" si="0"/>
        <v>Fiji</v>
      </c>
      <c r="C53">
        <v>3.9</v>
      </c>
    </row>
    <row r="54" spans="1:3" x14ac:dyDescent="0.35">
      <c r="A54" t="s">
        <v>429</v>
      </c>
      <c r="B54" t="str">
        <f t="shared" si="0"/>
        <v>Finland</v>
      </c>
      <c r="C54">
        <v>6.9</v>
      </c>
    </row>
    <row r="55" spans="1:3" x14ac:dyDescent="0.35">
      <c r="A55" t="s">
        <v>430</v>
      </c>
      <c r="B55" t="str">
        <f t="shared" si="0"/>
        <v>France</v>
      </c>
      <c r="C55" t="s">
        <v>471</v>
      </c>
    </row>
    <row r="56" spans="1:3" x14ac:dyDescent="0.35">
      <c r="A56" t="s">
        <v>311</v>
      </c>
      <c r="B56" t="str">
        <f t="shared" si="0"/>
        <v>Gabon</v>
      </c>
      <c r="C56">
        <v>2.7</v>
      </c>
    </row>
    <row r="57" spans="1:3" x14ac:dyDescent="0.35">
      <c r="A57" t="s">
        <v>312</v>
      </c>
      <c r="B57" t="str">
        <f t="shared" si="0"/>
        <v>Gambia</v>
      </c>
      <c r="C57">
        <v>2.4</v>
      </c>
    </row>
    <row r="58" spans="1:3" x14ac:dyDescent="0.35">
      <c r="A58" t="s">
        <v>313</v>
      </c>
      <c r="B58" t="str">
        <f t="shared" si="0"/>
        <v>Georgia</v>
      </c>
      <c r="C58">
        <v>3.9</v>
      </c>
    </row>
    <row r="59" spans="1:3" x14ac:dyDescent="0.35">
      <c r="A59" t="s">
        <v>425</v>
      </c>
      <c r="B59" t="str">
        <f t="shared" si="0"/>
        <v>Germany</v>
      </c>
      <c r="C59">
        <v>4.8</v>
      </c>
    </row>
    <row r="60" spans="1:3" x14ac:dyDescent="0.35">
      <c r="A60" t="s">
        <v>314</v>
      </c>
      <c r="B60" t="str">
        <f t="shared" si="0"/>
        <v>Ghana</v>
      </c>
      <c r="C60">
        <v>4</v>
      </c>
    </row>
    <row r="61" spans="1:3" x14ac:dyDescent="0.35">
      <c r="A61" t="s">
        <v>315</v>
      </c>
      <c r="B61" t="str">
        <f t="shared" si="0"/>
        <v>Greece</v>
      </c>
      <c r="C61" t="s">
        <v>471</v>
      </c>
    </row>
    <row r="62" spans="1:3" x14ac:dyDescent="0.35">
      <c r="A62" t="s">
        <v>316</v>
      </c>
      <c r="B62" t="str">
        <f t="shared" si="0"/>
        <v>Grenada</v>
      </c>
      <c r="C62">
        <v>3.2</v>
      </c>
    </row>
    <row r="63" spans="1:3" x14ac:dyDescent="0.35">
      <c r="A63" t="s">
        <v>317</v>
      </c>
      <c r="B63" t="str">
        <f t="shared" si="0"/>
        <v>Guatemala</v>
      </c>
      <c r="C63">
        <v>2.9</v>
      </c>
    </row>
    <row r="64" spans="1:3" x14ac:dyDescent="0.35">
      <c r="A64" t="s">
        <v>318</v>
      </c>
      <c r="B64" t="str">
        <f t="shared" si="0"/>
        <v>Guinea</v>
      </c>
      <c r="C64">
        <v>2.6</v>
      </c>
    </row>
    <row r="65" spans="1:3" x14ac:dyDescent="0.35">
      <c r="A65" t="s">
        <v>319</v>
      </c>
      <c r="B65" t="str">
        <f t="shared" si="0"/>
        <v>Guinea-Bissau</v>
      </c>
      <c r="C65">
        <v>2.1</v>
      </c>
    </row>
    <row r="66" spans="1:3" x14ac:dyDescent="0.35">
      <c r="A66" t="s">
        <v>320</v>
      </c>
      <c r="B66" t="str">
        <f t="shared" ref="B66:B129" si="1">TRIM(A66)</f>
        <v>Guyana</v>
      </c>
      <c r="C66">
        <v>5.9</v>
      </c>
    </row>
    <row r="67" spans="1:3" x14ac:dyDescent="0.35">
      <c r="A67" t="s">
        <v>321</v>
      </c>
      <c r="B67" t="str">
        <f t="shared" si="1"/>
        <v>Haiti</v>
      </c>
      <c r="C67">
        <v>2.8</v>
      </c>
    </row>
    <row r="68" spans="1:3" x14ac:dyDescent="0.35">
      <c r="A68" t="s">
        <v>322</v>
      </c>
      <c r="B68" t="str">
        <f t="shared" si="1"/>
        <v>Honduras</v>
      </c>
      <c r="C68">
        <v>6.1</v>
      </c>
    </row>
    <row r="69" spans="1:3" x14ac:dyDescent="0.35">
      <c r="A69" t="s">
        <v>433</v>
      </c>
      <c r="B69" t="str">
        <f t="shared" si="1"/>
        <v>Hong Kong, China (SAR)</v>
      </c>
      <c r="C69">
        <v>3.3</v>
      </c>
    </row>
    <row r="70" spans="1:3" x14ac:dyDescent="0.35">
      <c r="A70" t="s">
        <v>323</v>
      </c>
      <c r="B70" t="str">
        <f t="shared" si="1"/>
        <v>Hungary</v>
      </c>
      <c r="C70">
        <v>4.7</v>
      </c>
    </row>
    <row r="71" spans="1:3" x14ac:dyDescent="0.35">
      <c r="A71" t="s">
        <v>435</v>
      </c>
      <c r="B71" t="str">
        <f t="shared" si="1"/>
        <v>Iceland</v>
      </c>
      <c r="C71">
        <v>7.5</v>
      </c>
    </row>
    <row r="72" spans="1:3" x14ac:dyDescent="0.35">
      <c r="A72" t="s">
        <v>324</v>
      </c>
      <c r="B72" t="str">
        <f t="shared" si="1"/>
        <v>India</v>
      </c>
      <c r="C72">
        <v>3.8</v>
      </c>
    </row>
    <row r="73" spans="1:3" x14ac:dyDescent="0.35">
      <c r="A73" t="s">
        <v>325</v>
      </c>
      <c r="B73" t="str">
        <f t="shared" si="1"/>
        <v>Indonesia</v>
      </c>
      <c r="C73">
        <v>3.6</v>
      </c>
    </row>
    <row r="74" spans="1:3" x14ac:dyDescent="0.35">
      <c r="A74" t="s">
        <v>326</v>
      </c>
      <c r="B74" t="str">
        <f t="shared" si="1"/>
        <v>Iran (Islamic Republic of)</v>
      </c>
      <c r="C74">
        <v>4</v>
      </c>
    </row>
    <row r="75" spans="1:3" x14ac:dyDescent="0.35">
      <c r="A75" t="s">
        <v>434</v>
      </c>
      <c r="B75" t="str">
        <f t="shared" si="1"/>
        <v>Ireland</v>
      </c>
      <c r="C75">
        <v>3.7</v>
      </c>
    </row>
    <row r="76" spans="1:3" x14ac:dyDescent="0.35">
      <c r="A76" t="s">
        <v>436</v>
      </c>
      <c r="B76" t="str">
        <f t="shared" si="1"/>
        <v>Israel</v>
      </c>
      <c r="C76">
        <v>5.8</v>
      </c>
    </row>
    <row r="77" spans="1:3" x14ac:dyDescent="0.35">
      <c r="A77" t="s">
        <v>328</v>
      </c>
      <c r="B77" t="str">
        <f t="shared" si="1"/>
        <v>Italy</v>
      </c>
      <c r="C77">
        <v>3.8</v>
      </c>
    </row>
    <row r="78" spans="1:3" x14ac:dyDescent="0.35">
      <c r="A78" t="s">
        <v>329</v>
      </c>
      <c r="B78" t="str">
        <f t="shared" si="1"/>
        <v>Jamaica</v>
      </c>
      <c r="C78">
        <v>5.4</v>
      </c>
    </row>
    <row r="79" spans="1:3" x14ac:dyDescent="0.35">
      <c r="A79" t="s">
        <v>437</v>
      </c>
      <c r="B79" t="str">
        <f t="shared" si="1"/>
        <v>Japan</v>
      </c>
      <c r="C79">
        <v>3.2</v>
      </c>
    </row>
    <row r="80" spans="1:3" x14ac:dyDescent="0.35">
      <c r="A80" t="s">
        <v>330</v>
      </c>
      <c r="B80" t="str">
        <f t="shared" si="1"/>
        <v>Jordan</v>
      </c>
      <c r="C80">
        <v>3.6</v>
      </c>
    </row>
    <row r="81" spans="1:3" x14ac:dyDescent="0.35">
      <c r="A81" t="s">
        <v>331</v>
      </c>
      <c r="B81" t="str">
        <f t="shared" si="1"/>
        <v>Kazakhstan</v>
      </c>
      <c r="C81">
        <v>2.8</v>
      </c>
    </row>
    <row r="82" spans="1:3" x14ac:dyDescent="0.35">
      <c r="A82" t="s">
        <v>332</v>
      </c>
      <c r="B82" t="str">
        <f t="shared" si="1"/>
        <v>Kenya</v>
      </c>
      <c r="C82">
        <v>5.3</v>
      </c>
    </row>
    <row r="83" spans="1:3" x14ac:dyDescent="0.35">
      <c r="A83" t="s">
        <v>438</v>
      </c>
      <c r="B83" t="str">
        <f t="shared" si="1"/>
        <v>Kiribati</v>
      </c>
      <c r="C83" t="s">
        <v>471</v>
      </c>
    </row>
    <row r="84" spans="1:3" x14ac:dyDescent="0.35">
      <c r="A84" t="s">
        <v>440</v>
      </c>
      <c r="B84" t="str">
        <f t="shared" si="1"/>
        <v>Korea (Republic of)</v>
      </c>
      <c r="C84">
        <v>4.5999999999999996</v>
      </c>
    </row>
    <row r="85" spans="1:3" x14ac:dyDescent="0.35">
      <c r="A85" t="s">
        <v>334</v>
      </c>
      <c r="B85" t="str">
        <f t="shared" si="1"/>
        <v>Kuwait</v>
      </c>
      <c r="C85" t="s">
        <v>471</v>
      </c>
    </row>
    <row r="86" spans="1:3" x14ac:dyDescent="0.35">
      <c r="A86" t="s">
        <v>335</v>
      </c>
      <c r="B86" t="str">
        <f t="shared" si="1"/>
        <v>Kyrgyzstan</v>
      </c>
      <c r="C86">
        <v>6</v>
      </c>
    </row>
    <row r="87" spans="1:3" x14ac:dyDescent="0.35">
      <c r="A87" t="s">
        <v>336</v>
      </c>
      <c r="B87" t="str">
        <f t="shared" si="1"/>
        <v>Lao People's Democratic Republic</v>
      </c>
      <c r="C87">
        <v>2.9</v>
      </c>
    </row>
    <row r="88" spans="1:3" x14ac:dyDescent="0.35">
      <c r="A88" t="s">
        <v>337</v>
      </c>
      <c r="B88" t="str">
        <f t="shared" si="1"/>
        <v>Latvia</v>
      </c>
      <c r="C88">
        <v>4.7</v>
      </c>
    </row>
    <row r="89" spans="1:3" x14ac:dyDescent="0.35">
      <c r="A89" t="s">
        <v>338</v>
      </c>
      <c r="B89" t="str">
        <f t="shared" si="1"/>
        <v>Lebanon</v>
      </c>
      <c r="C89">
        <v>2.4</v>
      </c>
    </row>
    <row r="90" spans="1:3" x14ac:dyDescent="0.35">
      <c r="A90" t="s">
        <v>339</v>
      </c>
      <c r="B90" t="str">
        <f t="shared" si="1"/>
        <v>Lesotho</v>
      </c>
      <c r="C90">
        <v>6.5</v>
      </c>
    </row>
    <row r="91" spans="1:3" x14ac:dyDescent="0.35">
      <c r="A91" t="s">
        <v>340</v>
      </c>
      <c r="B91" t="str">
        <f t="shared" si="1"/>
        <v>Liberia</v>
      </c>
      <c r="C91">
        <v>2.6</v>
      </c>
    </row>
    <row r="92" spans="1:3" x14ac:dyDescent="0.35">
      <c r="A92" t="s">
        <v>443</v>
      </c>
      <c r="B92" t="str">
        <f t="shared" si="1"/>
        <v>Liechtenstein</v>
      </c>
      <c r="C92" t="s">
        <v>471</v>
      </c>
    </row>
    <row r="93" spans="1:3" x14ac:dyDescent="0.35">
      <c r="A93" t="s">
        <v>341</v>
      </c>
      <c r="B93" t="str">
        <f t="shared" si="1"/>
        <v>Lithuania</v>
      </c>
      <c r="C93">
        <v>4</v>
      </c>
    </row>
    <row r="94" spans="1:3" x14ac:dyDescent="0.35">
      <c r="A94" t="s">
        <v>444</v>
      </c>
      <c r="B94" t="str">
        <f t="shared" si="1"/>
        <v>Luxembourg</v>
      </c>
      <c r="C94">
        <v>4</v>
      </c>
    </row>
    <row r="95" spans="1:3" x14ac:dyDescent="0.35">
      <c r="A95" t="s">
        <v>342</v>
      </c>
      <c r="B95" t="str">
        <f t="shared" si="1"/>
        <v>Madagascar</v>
      </c>
      <c r="C95">
        <v>3.2</v>
      </c>
    </row>
    <row r="96" spans="1:3" x14ac:dyDescent="0.35">
      <c r="A96" t="s">
        <v>343</v>
      </c>
      <c r="B96" t="str">
        <f t="shared" si="1"/>
        <v>Malawi</v>
      </c>
      <c r="C96">
        <v>4.7</v>
      </c>
    </row>
    <row r="97" spans="1:3" x14ac:dyDescent="0.35">
      <c r="A97" t="s">
        <v>344</v>
      </c>
      <c r="B97" t="str">
        <f t="shared" si="1"/>
        <v>Malaysia</v>
      </c>
      <c r="C97">
        <v>4.5</v>
      </c>
    </row>
    <row r="98" spans="1:3" x14ac:dyDescent="0.35">
      <c r="A98" t="s">
        <v>345</v>
      </c>
      <c r="B98" t="str">
        <f t="shared" si="1"/>
        <v>Maldives</v>
      </c>
      <c r="C98">
        <v>4.0999999999999996</v>
      </c>
    </row>
    <row r="99" spans="1:3" x14ac:dyDescent="0.35">
      <c r="A99" t="s">
        <v>346</v>
      </c>
      <c r="B99" t="str">
        <f t="shared" si="1"/>
        <v>Mali</v>
      </c>
      <c r="C99">
        <v>3.8</v>
      </c>
    </row>
    <row r="100" spans="1:3" x14ac:dyDescent="0.35">
      <c r="A100" t="s">
        <v>347</v>
      </c>
      <c r="B100" t="str">
        <f t="shared" si="1"/>
        <v>Malta</v>
      </c>
      <c r="C100">
        <v>5.2</v>
      </c>
    </row>
    <row r="101" spans="1:3" x14ac:dyDescent="0.35">
      <c r="A101" t="s">
        <v>349</v>
      </c>
      <c r="B101" t="str">
        <f t="shared" si="1"/>
        <v>Mauritania</v>
      </c>
      <c r="C101">
        <v>2.6</v>
      </c>
    </row>
    <row r="102" spans="1:3" x14ac:dyDescent="0.35">
      <c r="A102" t="s">
        <v>350</v>
      </c>
      <c r="B102" t="str">
        <f t="shared" si="1"/>
        <v>Mauritius</v>
      </c>
      <c r="C102">
        <v>4.8</v>
      </c>
    </row>
    <row r="103" spans="1:3" x14ac:dyDescent="0.35">
      <c r="A103" t="s">
        <v>351</v>
      </c>
      <c r="B103" t="str">
        <f t="shared" si="1"/>
        <v>Mexico</v>
      </c>
      <c r="C103">
        <v>4.9000000000000004</v>
      </c>
    </row>
    <row r="104" spans="1:3" x14ac:dyDescent="0.35">
      <c r="A104" t="s">
        <v>431</v>
      </c>
      <c r="B104" t="str">
        <f t="shared" si="1"/>
        <v>Micronesia (Federated States of)</v>
      </c>
      <c r="C104">
        <v>12.5</v>
      </c>
    </row>
    <row r="105" spans="1:3" x14ac:dyDescent="0.35">
      <c r="A105" t="s">
        <v>352</v>
      </c>
      <c r="B105" t="str">
        <f t="shared" si="1"/>
        <v>Moldova (Republic of)</v>
      </c>
      <c r="C105">
        <v>5.5</v>
      </c>
    </row>
    <row r="106" spans="1:3" x14ac:dyDescent="0.35">
      <c r="A106" t="s">
        <v>477</v>
      </c>
      <c r="B106" t="str">
        <f t="shared" si="1"/>
        <v>Monaco</v>
      </c>
      <c r="C106">
        <v>1.5</v>
      </c>
    </row>
    <row r="107" spans="1:3" x14ac:dyDescent="0.35">
      <c r="A107" t="s">
        <v>353</v>
      </c>
      <c r="B107" t="str">
        <f t="shared" si="1"/>
        <v>Mongolia</v>
      </c>
      <c r="C107">
        <v>4.0999999999999996</v>
      </c>
    </row>
    <row r="108" spans="1:3" x14ac:dyDescent="0.35">
      <c r="A108" t="s">
        <v>355</v>
      </c>
      <c r="B108" t="str">
        <f t="shared" si="1"/>
        <v>Morocco</v>
      </c>
      <c r="C108" t="s">
        <v>471</v>
      </c>
    </row>
    <row r="109" spans="1:3" x14ac:dyDescent="0.35">
      <c r="A109" t="s">
        <v>356</v>
      </c>
      <c r="B109" t="str">
        <f t="shared" si="1"/>
        <v>Mozambique</v>
      </c>
      <c r="C109">
        <v>5.6</v>
      </c>
    </row>
    <row r="110" spans="1:3" x14ac:dyDescent="0.35">
      <c r="A110" t="s">
        <v>357</v>
      </c>
      <c r="B110" t="str">
        <f t="shared" si="1"/>
        <v>Myanmar</v>
      </c>
      <c r="C110">
        <v>2</v>
      </c>
    </row>
    <row r="111" spans="1:3" x14ac:dyDescent="0.35">
      <c r="A111" t="s">
        <v>358</v>
      </c>
      <c r="B111" t="str">
        <f t="shared" si="1"/>
        <v>Namibia</v>
      </c>
      <c r="C111">
        <v>3.1</v>
      </c>
    </row>
    <row r="112" spans="1:3" x14ac:dyDescent="0.35">
      <c r="A112" t="s">
        <v>359</v>
      </c>
      <c r="B112" t="str">
        <f t="shared" si="1"/>
        <v>Nepal</v>
      </c>
      <c r="C112">
        <v>5.2</v>
      </c>
    </row>
    <row r="113" spans="1:3" x14ac:dyDescent="0.35">
      <c r="A113" t="s">
        <v>445</v>
      </c>
      <c r="B113" t="str">
        <f t="shared" si="1"/>
        <v>Netherlands</v>
      </c>
      <c r="C113">
        <v>5.5</v>
      </c>
    </row>
    <row r="114" spans="1:3" x14ac:dyDescent="0.35">
      <c r="A114" t="s">
        <v>447</v>
      </c>
      <c r="B114" t="str">
        <f t="shared" si="1"/>
        <v>New Zealand</v>
      </c>
      <c r="C114">
        <v>6.4</v>
      </c>
    </row>
    <row r="115" spans="1:3" x14ac:dyDescent="0.35">
      <c r="A115" t="s">
        <v>360</v>
      </c>
      <c r="B115" t="str">
        <f t="shared" si="1"/>
        <v>Nicaragua</v>
      </c>
      <c r="C115">
        <v>4.3</v>
      </c>
    </row>
    <row r="116" spans="1:3" x14ac:dyDescent="0.35">
      <c r="A116" t="s">
        <v>361</v>
      </c>
      <c r="B116" t="str">
        <f t="shared" si="1"/>
        <v>Niger</v>
      </c>
      <c r="C116">
        <v>4.9000000000000004</v>
      </c>
    </row>
    <row r="117" spans="1:3" x14ac:dyDescent="0.35">
      <c r="A117" t="s">
        <v>363</v>
      </c>
      <c r="B117" t="str">
        <f t="shared" si="1"/>
        <v>North Macedonia</v>
      </c>
      <c r="C117" t="s">
        <v>471</v>
      </c>
    </row>
    <row r="118" spans="1:3" x14ac:dyDescent="0.35">
      <c r="A118" t="s">
        <v>446</v>
      </c>
      <c r="B118" t="str">
        <f t="shared" si="1"/>
        <v>Norway</v>
      </c>
      <c r="C118">
        <v>8</v>
      </c>
    </row>
    <row r="119" spans="1:3" x14ac:dyDescent="0.35">
      <c r="A119" t="s">
        <v>364</v>
      </c>
      <c r="B119" t="str">
        <f t="shared" si="1"/>
        <v>Oman</v>
      </c>
      <c r="C119">
        <v>5</v>
      </c>
    </row>
    <row r="120" spans="1:3" x14ac:dyDescent="0.35">
      <c r="A120" t="s">
        <v>365</v>
      </c>
      <c r="B120" t="str">
        <f t="shared" si="1"/>
        <v>Pakistan</v>
      </c>
      <c r="C120">
        <v>2.9</v>
      </c>
    </row>
    <row r="121" spans="1:3" x14ac:dyDescent="0.35">
      <c r="A121" t="s">
        <v>366</v>
      </c>
      <c r="B121" t="str">
        <f t="shared" si="1"/>
        <v>Palau</v>
      </c>
      <c r="C121" t="s">
        <v>471</v>
      </c>
    </row>
    <row r="122" spans="1:3" x14ac:dyDescent="0.35">
      <c r="A122" t="s">
        <v>367</v>
      </c>
      <c r="B122" t="str">
        <f t="shared" si="1"/>
        <v>Palestine, State of</v>
      </c>
      <c r="C122">
        <v>5.3</v>
      </c>
    </row>
    <row r="123" spans="1:3" x14ac:dyDescent="0.35">
      <c r="A123" t="s">
        <v>368</v>
      </c>
      <c r="B123" t="str">
        <f t="shared" si="1"/>
        <v>Panama</v>
      </c>
      <c r="C123" t="s">
        <v>471</v>
      </c>
    </row>
    <row r="124" spans="1:3" x14ac:dyDescent="0.35">
      <c r="A124" t="s">
        <v>369</v>
      </c>
      <c r="B124" t="str">
        <f t="shared" si="1"/>
        <v>Papua New Guinea</v>
      </c>
      <c r="C124">
        <v>1.9</v>
      </c>
    </row>
    <row r="125" spans="1:3" x14ac:dyDescent="0.35">
      <c r="A125" t="s">
        <v>370</v>
      </c>
      <c r="B125" t="str">
        <f t="shared" si="1"/>
        <v>Paraguay</v>
      </c>
      <c r="C125">
        <v>3.4</v>
      </c>
    </row>
    <row r="126" spans="1:3" x14ac:dyDescent="0.35">
      <c r="A126" t="s">
        <v>371</v>
      </c>
      <c r="B126" t="str">
        <f t="shared" si="1"/>
        <v>Peru</v>
      </c>
      <c r="C126">
        <v>3.7</v>
      </c>
    </row>
    <row r="127" spans="1:3" x14ac:dyDescent="0.35">
      <c r="A127" t="s">
        <v>372</v>
      </c>
      <c r="B127" t="str">
        <f t="shared" si="1"/>
        <v>Philippines</v>
      </c>
      <c r="C127" t="s">
        <v>471</v>
      </c>
    </row>
    <row r="128" spans="1:3" x14ac:dyDescent="0.35">
      <c r="A128" t="s">
        <v>373</v>
      </c>
      <c r="B128" t="str">
        <f t="shared" si="1"/>
        <v>Poland</v>
      </c>
      <c r="C128">
        <v>4.5999999999999996</v>
      </c>
    </row>
    <row r="129" spans="1:3" x14ac:dyDescent="0.35">
      <c r="A129" t="s">
        <v>374</v>
      </c>
      <c r="B129" t="str">
        <f t="shared" si="1"/>
        <v>Portugal</v>
      </c>
      <c r="C129">
        <v>4.9000000000000004</v>
      </c>
    </row>
    <row r="130" spans="1:3" x14ac:dyDescent="0.35">
      <c r="A130" t="s">
        <v>375</v>
      </c>
      <c r="B130" t="str">
        <f t="shared" ref="B130:B193" si="2">TRIM(A130)</f>
        <v>Qatar</v>
      </c>
      <c r="C130">
        <v>2.9</v>
      </c>
    </row>
    <row r="131" spans="1:3" x14ac:dyDescent="0.35">
      <c r="A131" t="s">
        <v>376</v>
      </c>
      <c r="B131" t="str">
        <f t="shared" si="2"/>
        <v>Romania</v>
      </c>
      <c r="C131">
        <v>3</v>
      </c>
    </row>
    <row r="132" spans="1:3" x14ac:dyDescent="0.35">
      <c r="A132" t="s">
        <v>377</v>
      </c>
      <c r="B132" t="str">
        <f t="shared" si="2"/>
        <v>Russian Federation</v>
      </c>
      <c r="C132">
        <v>3.7</v>
      </c>
    </row>
    <row r="133" spans="1:3" x14ac:dyDescent="0.35">
      <c r="A133" t="s">
        <v>378</v>
      </c>
      <c r="B133" t="str">
        <f t="shared" si="2"/>
        <v>Rwanda</v>
      </c>
      <c r="C133">
        <v>3.1</v>
      </c>
    </row>
    <row r="134" spans="1:3" x14ac:dyDescent="0.35">
      <c r="A134" t="s">
        <v>439</v>
      </c>
      <c r="B134" t="str">
        <f t="shared" si="2"/>
        <v>Saint Kitts and Nevis</v>
      </c>
      <c r="C134">
        <v>2.6</v>
      </c>
    </row>
    <row r="135" spans="1:3" x14ac:dyDescent="0.35">
      <c r="A135" t="s">
        <v>442</v>
      </c>
      <c r="B135" t="str">
        <f t="shared" si="2"/>
        <v>Saint Lucia</v>
      </c>
      <c r="C135">
        <v>3.7</v>
      </c>
    </row>
    <row r="136" spans="1:3" x14ac:dyDescent="0.35">
      <c r="A136" t="s">
        <v>452</v>
      </c>
      <c r="B136" t="str">
        <f t="shared" si="2"/>
        <v>Saint Vincent and the Grenadines</v>
      </c>
      <c r="C136">
        <v>5.7</v>
      </c>
    </row>
    <row r="137" spans="1:3" x14ac:dyDescent="0.35">
      <c r="A137" t="s">
        <v>379</v>
      </c>
      <c r="B137" t="str">
        <f t="shared" si="2"/>
        <v>Samoa</v>
      </c>
      <c r="C137">
        <v>4.0999999999999996</v>
      </c>
    </row>
    <row r="138" spans="1:3" x14ac:dyDescent="0.35">
      <c r="A138" t="s">
        <v>380</v>
      </c>
      <c r="B138" t="str">
        <f t="shared" si="2"/>
        <v>San Marino</v>
      </c>
      <c r="C138">
        <v>3.1</v>
      </c>
    </row>
    <row r="139" spans="1:3" x14ac:dyDescent="0.35">
      <c r="A139" t="s">
        <v>381</v>
      </c>
      <c r="B139" t="str">
        <f t="shared" si="2"/>
        <v>Sao Tome and Principe</v>
      </c>
      <c r="C139">
        <v>5.0999999999999996</v>
      </c>
    </row>
    <row r="140" spans="1:3" x14ac:dyDescent="0.35">
      <c r="A140" t="s">
        <v>382</v>
      </c>
      <c r="B140" t="str">
        <f t="shared" si="2"/>
        <v>Saudi Arabia</v>
      </c>
      <c r="C140" t="s">
        <v>471</v>
      </c>
    </row>
    <row r="141" spans="1:3" x14ac:dyDescent="0.35">
      <c r="A141" t="s">
        <v>383</v>
      </c>
      <c r="B141" t="str">
        <f t="shared" si="2"/>
        <v>Senegal</v>
      </c>
      <c r="C141">
        <v>4.7</v>
      </c>
    </row>
    <row r="142" spans="1:3" x14ac:dyDescent="0.35">
      <c r="A142" t="s">
        <v>384</v>
      </c>
      <c r="B142" t="str">
        <f t="shared" si="2"/>
        <v>Serbia</v>
      </c>
      <c r="C142">
        <v>3.7</v>
      </c>
    </row>
    <row r="143" spans="1:3" x14ac:dyDescent="0.35">
      <c r="A143" t="s">
        <v>385</v>
      </c>
      <c r="B143" t="str">
        <f t="shared" si="2"/>
        <v>Seychelles</v>
      </c>
      <c r="C143">
        <v>4.4000000000000004</v>
      </c>
    </row>
    <row r="144" spans="1:3" x14ac:dyDescent="0.35">
      <c r="A144" t="s">
        <v>386</v>
      </c>
      <c r="B144" t="str">
        <f t="shared" si="2"/>
        <v>Sierra Leone</v>
      </c>
      <c r="C144">
        <v>7.1</v>
      </c>
    </row>
    <row r="145" spans="1:3" x14ac:dyDescent="0.35">
      <c r="A145" t="s">
        <v>387</v>
      </c>
      <c r="B145" t="str">
        <f t="shared" si="2"/>
        <v>Singapore</v>
      </c>
      <c r="C145">
        <v>2.9</v>
      </c>
    </row>
    <row r="146" spans="1:3" x14ac:dyDescent="0.35">
      <c r="A146" t="s">
        <v>448</v>
      </c>
      <c r="B146" t="str">
        <f t="shared" si="2"/>
        <v>Slovakia</v>
      </c>
      <c r="C146">
        <v>3.9</v>
      </c>
    </row>
    <row r="147" spans="1:3" x14ac:dyDescent="0.35">
      <c r="A147" t="s">
        <v>388</v>
      </c>
      <c r="B147" t="str">
        <f t="shared" si="2"/>
        <v>Slovenia</v>
      </c>
      <c r="C147">
        <v>4.8</v>
      </c>
    </row>
    <row r="148" spans="1:3" x14ac:dyDescent="0.35">
      <c r="A148" t="s">
        <v>389</v>
      </c>
      <c r="B148" t="str">
        <f t="shared" si="2"/>
        <v>Solomon Islands</v>
      </c>
      <c r="C148" t="s">
        <v>471</v>
      </c>
    </row>
    <row r="149" spans="1:3" x14ac:dyDescent="0.35">
      <c r="A149" t="s">
        <v>390</v>
      </c>
      <c r="B149" t="str">
        <f t="shared" si="2"/>
        <v>South Africa</v>
      </c>
      <c r="C149">
        <v>6.2</v>
      </c>
    </row>
    <row r="150" spans="1:3" x14ac:dyDescent="0.35">
      <c r="A150" t="s">
        <v>391</v>
      </c>
      <c r="B150" t="str">
        <f t="shared" si="2"/>
        <v>South Sudan</v>
      </c>
      <c r="C150">
        <v>1</v>
      </c>
    </row>
    <row r="151" spans="1:3" x14ac:dyDescent="0.35">
      <c r="A151" t="s">
        <v>392</v>
      </c>
      <c r="B151" t="str">
        <f t="shared" si="2"/>
        <v>Spain</v>
      </c>
      <c r="C151">
        <v>4.2</v>
      </c>
    </row>
    <row r="152" spans="1:3" x14ac:dyDescent="0.35">
      <c r="A152" t="s">
        <v>393</v>
      </c>
      <c r="B152" t="str">
        <f t="shared" si="2"/>
        <v>Sri Lanka</v>
      </c>
      <c r="C152">
        <v>2.1</v>
      </c>
    </row>
    <row r="153" spans="1:3" x14ac:dyDescent="0.35">
      <c r="A153" t="s">
        <v>394</v>
      </c>
      <c r="B153" t="str">
        <f t="shared" si="2"/>
        <v>Sudan</v>
      </c>
      <c r="C153" t="s">
        <v>471</v>
      </c>
    </row>
    <row r="154" spans="1:3" x14ac:dyDescent="0.35">
      <c r="A154" t="s">
        <v>449</v>
      </c>
      <c r="B154" t="str">
        <f t="shared" si="2"/>
        <v>Sweden</v>
      </c>
      <c r="C154">
        <v>7.7</v>
      </c>
    </row>
    <row r="155" spans="1:3" x14ac:dyDescent="0.35">
      <c r="A155" t="s">
        <v>423</v>
      </c>
      <c r="B155" t="str">
        <f t="shared" si="2"/>
        <v>Switzerland</v>
      </c>
      <c r="C155">
        <v>5.0999999999999996</v>
      </c>
    </row>
    <row r="156" spans="1:3" x14ac:dyDescent="0.35">
      <c r="A156" t="s">
        <v>396</v>
      </c>
      <c r="B156" t="str">
        <f t="shared" si="2"/>
        <v>Tajikistan</v>
      </c>
      <c r="C156">
        <v>5.2</v>
      </c>
    </row>
    <row r="157" spans="1:3" x14ac:dyDescent="0.35">
      <c r="A157" t="s">
        <v>397</v>
      </c>
      <c r="B157" t="str">
        <f t="shared" si="2"/>
        <v>Tanzania (United Republic of)</v>
      </c>
      <c r="C157">
        <v>3.7</v>
      </c>
    </row>
    <row r="158" spans="1:3" x14ac:dyDescent="0.35">
      <c r="A158" t="s">
        <v>398</v>
      </c>
      <c r="B158" t="str">
        <f t="shared" si="2"/>
        <v>Thailand</v>
      </c>
      <c r="C158">
        <v>4.0999999999999996</v>
      </c>
    </row>
    <row r="159" spans="1:3" x14ac:dyDescent="0.35">
      <c r="A159" t="s">
        <v>399</v>
      </c>
      <c r="B159" t="str">
        <f t="shared" si="2"/>
        <v>Timor-Leste</v>
      </c>
      <c r="C159">
        <v>4.0999999999999996</v>
      </c>
    </row>
    <row r="160" spans="1:3" x14ac:dyDescent="0.35">
      <c r="A160" t="s">
        <v>400</v>
      </c>
      <c r="B160" t="str">
        <f t="shared" si="2"/>
        <v>Togo</v>
      </c>
      <c r="C160">
        <v>5.4</v>
      </c>
    </row>
    <row r="161" spans="1:3" x14ac:dyDescent="0.35">
      <c r="A161" t="s">
        <v>401</v>
      </c>
      <c r="B161" t="str">
        <f t="shared" si="2"/>
        <v>Tonga</v>
      </c>
      <c r="C161" t="s">
        <v>471</v>
      </c>
    </row>
    <row r="162" spans="1:3" x14ac:dyDescent="0.35">
      <c r="A162" t="s">
        <v>402</v>
      </c>
      <c r="B162" t="str">
        <f t="shared" si="2"/>
        <v>Trinidad and Tobago</v>
      </c>
      <c r="C162" t="s">
        <v>471</v>
      </c>
    </row>
    <row r="163" spans="1:3" x14ac:dyDescent="0.35">
      <c r="A163" t="s">
        <v>403</v>
      </c>
      <c r="B163" t="str">
        <f t="shared" si="2"/>
        <v>Tunisia</v>
      </c>
      <c r="C163">
        <v>6.6</v>
      </c>
    </row>
    <row r="164" spans="1:3" x14ac:dyDescent="0.35">
      <c r="A164" t="s">
        <v>404</v>
      </c>
      <c r="B164" t="str">
        <f t="shared" si="2"/>
        <v>Turkey</v>
      </c>
      <c r="C164" t="s">
        <v>471</v>
      </c>
    </row>
    <row r="165" spans="1:3" x14ac:dyDescent="0.35">
      <c r="A165" t="s">
        <v>405</v>
      </c>
      <c r="B165" t="str">
        <f t="shared" si="2"/>
        <v>Turkmenistan</v>
      </c>
      <c r="C165" t="s">
        <v>471</v>
      </c>
    </row>
    <row r="166" spans="1:3" x14ac:dyDescent="0.35">
      <c r="A166" t="s">
        <v>479</v>
      </c>
      <c r="B166" t="str">
        <f t="shared" si="2"/>
        <v>Tuvalu</v>
      </c>
      <c r="C166" t="s">
        <v>471</v>
      </c>
    </row>
    <row r="167" spans="1:3" x14ac:dyDescent="0.35">
      <c r="A167" t="s">
        <v>406</v>
      </c>
      <c r="B167" t="str">
        <f t="shared" si="2"/>
        <v>Uganda</v>
      </c>
      <c r="C167">
        <v>2.5</v>
      </c>
    </row>
    <row r="168" spans="1:3" x14ac:dyDescent="0.35">
      <c r="A168" t="s">
        <v>407</v>
      </c>
      <c r="B168" t="str">
        <f t="shared" si="2"/>
        <v>Ukraine</v>
      </c>
      <c r="C168">
        <v>5.4</v>
      </c>
    </row>
    <row r="169" spans="1:3" x14ac:dyDescent="0.35">
      <c r="A169" t="s">
        <v>25</v>
      </c>
      <c r="B169" t="str">
        <f t="shared" si="2"/>
        <v>The United Kingdom</v>
      </c>
      <c r="C169">
        <v>5.5</v>
      </c>
    </row>
    <row r="170" spans="1:3" x14ac:dyDescent="0.35">
      <c r="A170" t="s">
        <v>472</v>
      </c>
      <c r="B170" t="str">
        <f t="shared" si="2"/>
        <v>United States of America</v>
      </c>
      <c r="C170">
        <v>5</v>
      </c>
    </row>
    <row r="171" spans="1:3" x14ac:dyDescent="0.35">
      <c r="A171" t="s">
        <v>409</v>
      </c>
      <c r="B171" t="str">
        <f t="shared" si="2"/>
        <v>Uruguay</v>
      </c>
      <c r="C171">
        <v>4.8</v>
      </c>
    </row>
    <row r="172" spans="1:3" x14ac:dyDescent="0.35">
      <c r="A172" t="s">
        <v>410</v>
      </c>
      <c r="B172" t="str">
        <f t="shared" si="2"/>
        <v>Uzbekistan</v>
      </c>
      <c r="C172">
        <v>5.3</v>
      </c>
    </row>
    <row r="173" spans="1:3" x14ac:dyDescent="0.35">
      <c r="A173" t="s">
        <v>411</v>
      </c>
      <c r="B173" t="str">
        <f t="shared" si="2"/>
        <v>Vanuatu</v>
      </c>
      <c r="C173">
        <v>4.7</v>
      </c>
    </row>
    <row r="174" spans="1:3" x14ac:dyDescent="0.35">
      <c r="A174" t="s">
        <v>412</v>
      </c>
      <c r="B174" t="str">
        <f t="shared" si="2"/>
        <v>Venezuela (Bolivarian Republic of)</v>
      </c>
      <c r="C174" t="s">
        <v>471</v>
      </c>
    </row>
    <row r="175" spans="1:3" x14ac:dyDescent="0.35">
      <c r="A175" t="s">
        <v>413</v>
      </c>
      <c r="B175" t="str">
        <f t="shared" si="2"/>
        <v>Viet Nam</v>
      </c>
      <c r="C175">
        <v>4.2</v>
      </c>
    </row>
    <row r="176" spans="1:3" x14ac:dyDescent="0.35">
      <c r="A176" t="s">
        <v>453</v>
      </c>
      <c r="B176" t="str">
        <f t="shared" si="2"/>
        <v>Yemen</v>
      </c>
      <c r="C176" t="s">
        <v>471</v>
      </c>
    </row>
    <row r="177" spans="1:3" x14ac:dyDescent="0.35">
      <c r="A177" t="s">
        <v>414</v>
      </c>
      <c r="B177" t="str">
        <f t="shared" si="2"/>
        <v>Zambia</v>
      </c>
      <c r="C177">
        <v>4.7</v>
      </c>
    </row>
    <row r="178" spans="1:3" x14ac:dyDescent="0.35">
      <c r="A178" t="s">
        <v>415</v>
      </c>
      <c r="B178" t="str">
        <f t="shared" si="2"/>
        <v>Zimbabwe</v>
      </c>
      <c r="C178">
        <v>4.5999999999999996</v>
      </c>
    </row>
    <row r="179" spans="1:3" x14ac:dyDescent="0.35">
      <c r="A179" t="s">
        <v>408</v>
      </c>
      <c r="B179" t="str">
        <f t="shared" si="2"/>
        <v>United Arab Emirates</v>
      </c>
      <c r="C179" t="s">
        <v>471</v>
      </c>
    </row>
    <row r="180" spans="1:3" x14ac:dyDescent="0.35">
      <c r="A180" t="s">
        <v>267</v>
      </c>
      <c r="B180" t="str">
        <f t="shared" si="2"/>
        <v>Antigua and Barbuda</v>
      </c>
      <c r="C180" t="s">
        <v>471</v>
      </c>
    </row>
    <row r="181" spans="1:3" x14ac:dyDescent="0.35">
      <c r="A181" t="s">
        <v>278</v>
      </c>
      <c r="B181" t="str">
        <f t="shared" si="2"/>
        <v>Bosnia and Herzegovina</v>
      </c>
      <c r="C181" t="s">
        <v>471</v>
      </c>
    </row>
    <row r="182" spans="1:3" x14ac:dyDescent="0.35">
      <c r="A182" t="s">
        <v>277</v>
      </c>
      <c r="B182" t="str">
        <f t="shared" si="2"/>
        <v>Bolivia (Plurinational State of)</v>
      </c>
      <c r="C182" t="s">
        <v>471</v>
      </c>
    </row>
    <row r="183" spans="1:3" x14ac:dyDescent="0.35">
      <c r="A183" t="s">
        <v>265</v>
      </c>
      <c r="B183" t="str">
        <f t="shared" si="2"/>
        <v>Algeria</v>
      </c>
      <c r="C183" t="s">
        <v>471</v>
      </c>
    </row>
    <row r="184" spans="1:3" x14ac:dyDescent="0.35">
      <c r="A184" t="s">
        <v>306</v>
      </c>
      <c r="B184" t="str">
        <f t="shared" si="2"/>
        <v>Eritrea</v>
      </c>
      <c r="C184" t="s">
        <v>471</v>
      </c>
    </row>
    <row r="185" spans="1:3" x14ac:dyDescent="0.35">
      <c r="A185" t="s">
        <v>305</v>
      </c>
      <c r="B185" t="str">
        <f t="shared" si="2"/>
        <v>Equatorial Guinea</v>
      </c>
      <c r="C185" t="s">
        <v>471</v>
      </c>
    </row>
    <row r="186" spans="1:3" x14ac:dyDescent="0.35">
      <c r="A186" t="s">
        <v>327</v>
      </c>
      <c r="B186" t="str">
        <f t="shared" si="2"/>
        <v>Iraq</v>
      </c>
      <c r="C186" t="s">
        <v>471</v>
      </c>
    </row>
    <row r="187" spans="1:3" x14ac:dyDescent="0.35">
      <c r="A187" t="s">
        <v>441</v>
      </c>
      <c r="B187" t="str">
        <f t="shared" si="2"/>
        <v>Libya</v>
      </c>
      <c r="C187" t="s">
        <v>471</v>
      </c>
    </row>
    <row r="188" spans="1:3" x14ac:dyDescent="0.35">
      <c r="A188" t="s">
        <v>348</v>
      </c>
      <c r="B188" t="str">
        <f t="shared" si="2"/>
        <v>Marshall Islands</v>
      </c>
      <c r="C188" t="s">
        <v>471</v>
      </c>
    </row>
    <row r="189" spans="1:3" x14ac:dyDescent="0.35">
      <c r="A189" t="s">
        <v>354</v>
      </c>
      <c r="B189" t="str">
        <f t="shared" si="2"/>
        <v>Montenegro</v>
      </c>
      <c r="C189" t="s">
        <v>471</v>
      </c>
    </row>
    <row r="190" spans="1:3" x14ac:dyDescent="0.35">
      <c r="A190" t="s">
        <v>362</v>
      </c>
      <c r="B190" t="str">
        <f t="shared" si="2"/>
        <v>Nigeria</v>
      </c>
      <c r="C190" t="s">
        <v>471</v>
      </c>
    </row>
    <row r="191" spans="1:3" x14ac:dyDescent="0.35">
      <c r="A191" t="s">
        <v>395</v>
      </c>
      <c r="B191" t="str">
        <f t="shared" si="2"/>
        <v>Suriname</v>
      </c>
      <c r="C191" t="s">
        <v>471</v>
      </c>
    </row>
    <row r="192" spans="1:3" x14ac:dyDescent="0.35">
      <c r="A192" t="s">
        <v>450</v>
      </c>
      <c r="B192" t="str">
        <f t="shared" si="2"/>
        <v>Syrian Arab Republic</v>
      </c>
      <c r="C192" t="s">
        <v>471</v>
      </c>
    </row>
    <row r="193" spans="1:3" x14ac:dyDescent="0.35">
      <c r="A193" t="s">
        <v>454</v>
      </c>
      <c r="B193" t="str">
        <f t="shared" si="2"/>
        <v>Human Development</v>
      </c>
      <c r="C193" t="s">
        <v>471</v>
      </c>
    </row>
    <row r="194" spans="1:3" x14ac:dyDescent="0.35">
      <c r="A194" t="s">
        <v>455</v>
      </c>
      <c r="B194" t="str">
        <f t="shared" ref="B194:B209" si="3">TRIM(A194)</f>
        <v>Very high human development</v>
      </c>
      <c r="C194">
        <v>4.8</v>
      </c>
    </row>
    <row r="195" spans="1:3" x14ac:dyDescent="0.35">
      <c r="A195" t="s">
        <v>456</v>
      </c>
      <c r="B195" t="str">
        <f t="shared" si="3"/>
        <v>High human development</v>
      </c>
      <c r="C195">
        <v>4.8</v>
      </c>
    </row>
    <row r="196" spans="1:3" x14ac:dyDescent="0.35">
      <c r="A196" t="s">
        <v>457</v>
      </c>
      <c r="B196" t="str">
        <f t="shared" si="3"/>
        <v>Medium human development</v>
      </c>
      <c r="C196">
        <v>3.6</v>
      </c>
    </row>
    <row r="197" spans="1:3" x14ac:dyDescent="0.35">
      <c r="A197" t="s">
        <v>458</v>
      </c>
      <c r="B197" t="str">
        <f t="shared" si="3"/>
        <v>Low human development</v>
      </c>
      <c r="C197">
        <v>3.8</v>
      </c>
    </row>
    <row r="198" spans="1:3" x14ac:dyDescent="0.35">
      <c r="A198" t="s">
        <v>459</v>
      </c>
      <c r="B198" t="str">
        <f t="shared" si="3"/>
        <v>Developing Countries</v>
      </c>
      <c r="C198">
        <v>4.4000000000000004</v>
      </c>
    </row>
    <row r="199" spans="1:3" x14ac:dyDescent="0.35">
      <c r="A199" t="s">
        <v>460</v>
      </c>
      <c r="B199" t="str">
        <f t="shared" si="3"/>
        <v>Regions</v>
      </c>
      <c r="C199" t="s">
        <v>471</v>
      </c>
    </row>
    <row r="200" spans="1:3" x14ac:dyDescent="0.35">
      <c r="A200" t="s">
        <v>461</v>
      </c>
      <c r="B200" t="str">
        <f t="shared" si="3"/>
        <v>Arab States</v>
      </c>
      <c r="C200">
        <v>3.6</v>
      </c>
    </row>
    <row r="201" spans="1:3" x14ac:dyDescent="0.35">
      <c r="A201" t="s">
        <v>462</v>
      </c>
      <c r="B201" t="str">
        <f t="shared" si="3"/>
        <v>East Asia and the Pacific</v>
      </c>
      <c r="C201">
        <v>3.7</v>
      </c>
    </row>
    <row r="202" spans="1:3" x14ac:dyDescent="0.35">
      <c r="A202" t="s">
        <v>463</v>
      </c>
      <c r="B202" t="str">
        <f t="shared" si="3"/>
        <v>Europe and Central Asia</v>
      </c>
      <c r="C202">
        <v>4</v>
      </c>
    </row>
    <row r="203" spans="1:3" x14ac:dyDescent="0.35">
      <c r="A203" t="s">
        <v>464</v>
      </c>
      <c r="B203" t="str">
        <f t="shared" si="3"/>
        <v>Latin America and the Caribbean</v>
      </c>
      <c r="C203">
        <v>5.4</v>
      </c>
    </row>
    <row r="204" spans="1:3" x14ac:dyDescent="0.35">
      <c r="A204" t="s">
        <v>465</v>
      </c>
      <c r="B204" t="str">
        <f t="shared" si="3"/>
        <v>South Asia</v>
      </c>
      <c r="C204">
        <v>3.6</v>
      </c>
    </row>
    <row r="205" spans="1:3" x14ac:dyDescent="0.35">
      <c r="A205" t="s">
        <v>466</v>
      </c>
      <c r="B205" t="str">
        <f t="shared" si="3"/>
        <v>Sub-Saharan Africa</v>
      </c>
      <c r="C205">
        <v>4.7</v>
      </c>
    </row>
    <row r="206" spans="1:3" x14ac:dyDescent="0.35">
      <c r="A206" t="s">
        <v>467</v>
      </c>
      <c r="B206" t="str">
        <f t="shared" si="3"/>
        <v>Least Developed Countries</v>
      </c>
      <c r="C206">
        <v>3.1</v>
      </c>
    </row>
    <row r="207" spans="1:3" x14ac:dyDescent="0.35">
      <c r="A207" t="s">
        <v>468</v>
      </c>
      <c r="B207" t="str">
        <f t="shared" si="3"/>
        <v>Small Island Developing States</v>
      </c>
      <c r="C207">
        <v>3</v>
      </c>
    </row>
    <row r="208" spans="1:3" x14ac:dyDescent="0.35">
      <c r="A208" t="s">
        <v>469</v>
      </c>
      <c r="B208" t="str">
        <f t="shared" si="3"/>
        <v>Organization for Economic Co-operation and Development</v>
      </c>
      <c r="C208">
        <v>4.8</v>
      </c>
    </row>
    <row r="209" spans="1:3" x14ac:dyDescent="0.35">
      <c r="A209" t="s">
        <v>470</v>
      </c>
      <c r="B209" t="str">
        <f t="shared" si="3"/>
        <v>World</v>
      </c>
      <c r="C209">
        <v>4.7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6"/>
  <sheetViews>
    <sheetView topLeftCell="A32" workbookViewId="0">
      <selection activeCell="C41" sqref="C41:C42"/>
    </sheetView>
  </sheetViews>
  <sheetFormatPr defaultRowHeight="14.5" x14ac:dyDescent="0.35"/>
  <cols>
    <col min="1" max="2" width="26.453125" customWidth="1"/>
  </cols>
  <sheetData>
    <row r="1" spans="1:3" x14ac:dyDescent="0.35">
      <c r="A1" t="s">
        <v>263</v>
      </c>
      <c r="B1" t="str">
        <f>TRIM(A1)</f>
        <v>Afghanistan</v>
      </c>
      <c r="C1">
        <v>0.51100000000000001</v>
      </c>
    </row>
    <row r="2" spans="1:3" x14ac:dyDescent="0.35">
      <c r="A2" t="s">
        <v>264</v>
      </c>
      <c r="B2" t="str">
        <f t="shared" ref="B2:B65" si="0">TRIM(A2)</f>
        <v>Albania</v>
      </c>
      <c r="C2">
        <v>0.79500000000000004</v>
      </c>
    </row>
    <row r="3" spans="1:3" x14ac:dyDescent="0.35">
      <c r="A3" t="s">
        <v>265</v>
      </c>
      <c r="B3" t="str">
        <f t="shared" si="0"/>
        <v>Algeria</v>
      </c>
      <c r="C3">
        <v>0.748</v>
      </c>
    </row>
    <row r="4" spans="1:3" x14ac:dyDescent="0.35">
      <c r="A4" t="s">
        <v>416</v>
      </c>
      <c r="B4" t="str">
        <f t="shared" si="0"/>
        <v>Andorra</v>
      </c>
      <c r="C4">
        <v>0.86799999999999999</v>
      </c>
    </row>
    <row r="5" spans="1:3" x14ac:dyDescent="0.35">
      <c r="A5" t="s">
        <v>266</v>
      </c>
      <c r="B5" t="str">
        <f t="shared" si="0"/>
        <v>Angola</v>
      </c>
      <c r="C5">
        <v>0.58099999999999996</v>
      </c>
    </row>
    <row r="6" spans="1:3" x14ac:dyDescent="0.35">
      <c r="A6" t="s">
        <v>267</v>
      </c>
      <c r="B6" t="str">
        <f t="shared" si="0"/>
        <v>Antigua and Barbuda</v>
      </c>
      <c r="C6">
        <v>0.77800000000000002</v>
      </c>
    </row>
    <row r="7" spans="1:3" x14ac:dyDescent="0.35">
      <c r="A7" t="s">
        <v>268</v>
      </c>
      <c r="B7" t="str">
        <f t="shared" si="0"/>
        <v>Argentina</v>
      </c>
      <c r="C7">
        <v>0.84499999999999997</v>
      </c>
    </row>
    <row r="8" spans="1:3" x14ac:dyDescent="0.35">
      <c r="A8" t="s">
        <v>269</v>
      </c>
      <c r="B8" t="str">
        <f t="shared" si="0"/>
        <v>Armenia</v>
      </c>
      <c r="C8">
        <v>0.77600000000000002</v>
      </c>
    </row>
    <row r="9" spans="1:3" x14ac:dyDescent="0.35">
      <c r="A9" t="s">
        <v>417</v>
      </c>
      <c r="B9" t="str">
        <f t="shared" si="0"/>
        <v>Australia</v>
      </c>
      <c r="C9">
        <v>0.94399999999999995</v>
      </c>
    </row>
    <row r="10" spans="1:3" x14ac:dyDescent="0.35">
      <c r="A10" t="s">
        <v>418</v>
      </c>
      <c r="B10" t="str">
        <f t="shared" si="0"/>
        <v>Austria</v>
      </c>
      <c r="C10">
        <v>0.92200000000000004</v>
      </c>
    </row>
    <row r="11" spans="1:3" x14ac:dyDescent="0.35">
      <c r="A11" t="s">
        <v>270</v>
      </c>
      <c r="B11" t="str">
        <f t="shared" si="0"/>
        <v>Azerbaijan</v>
      </c>
      <c r="C11">
        <v>0.75600000000000001</v>
      </c>
    </row>
    <row r="12" spans="1:3" x14ac:dyDescent="0.35">
      <c r="A12" t="s">
        <v>420</v>
      </c>
      <c r="B12" t="str">
        <f t="shared" si="0"/>
        <v>Bahamas</v>
      </c>
      <c r="C12">
        <v>0.81399999999999995</v>
      </c>
    </row>
    <row r="13" spans="1:3" x14ac:dyDescent="0.35">
      <c r="A13" t="s">
        <v>271</v>
      </c>
      <c r="B13" t="str">
        <f t="shared" si="0"/>
        <v>Bahrain</v>
      </c>
      <c r="C13">
        <v>0.85199999999999998</v>
      </c>
    </row>
    <row r="14" spans="1:3" x14ac:dyDescent="0.35">
      <c r="A14" t="s">
        <v>272</v>
      </c>
      <c r="B14" t="str">
        <f t="shared" si="0"/>
        <v>Bangladesh</v>
      </c>
      <c r="C14">
        <v>0.63200000000000001</v>
      </c>
    </row>
    <row r="15" spans="1:3" x14ac:dyDescent="0.35">
      <c r="A15" t="s">
        <v>273</v>
      </c>
      <c r="B15" t="str">
        <f t="shared" si="0"/>
        <v>Barbados</v>
      </c>
      <c r="C15">
        <v>0.81399999999999995</v>
      </c>
    </row>
    <row r="16" spans="1:3" x14ac:dyDescent="0.35">
      <c r="A16" t="s">
        <v>274</v>
      </c>
      <c r="B16" t="str">
        <f t="shared" si="0"/>
        <v>Belarus</v>
      </c>
      <c r="C16">
        <v>0.82299999999999995</v>
      </c>
    </row>
    <row r="17" spans="1:3" x14ac:dyDescent="0.35">
      <c r="A17" t="s">
        <v>419</v>
      </c>
      <c r="B17" t="str">
        <f t="shared" si="0"/>
        <v>Belgium</v>
      </c>
      <c r="C17">
        <v>0.93100000000000005</v>
      </c>
    </row>
    <row r="18" spans="1:3" x14ac:dyDescent="0.35">
      <c r="A18" t="s">
        <v>421</v>
      </c>
      <c r="B18" t="str">
        <f t="shared" si="0"/>
        <v>Belize</v>
      </c>
      <c r="C18">
        <v>0.71599999999999997</v>
      </c>
    </row>
    <row r="19" spans="1:3" x14ac:dyDescent="0.35">
      <c r="A19" t="s">
        <v>275</v>
      </c>
      <c r="B19" t="str">
        <f t="shared" si="0"/>
        <v>Benin</v>
      </c>
      <c r="C19">
        <v>0.54500000000000004</v>
      </c>
    </row>
    <row r="20" spans="1:3" x14ac:dyDescent="0.35">
      <c r="A20" t="s">
        <v>276</v>
      </c>
      <c r="B20" t="str">
        <f t="shared" si="0"/>
        <v>Bhutan</v>
      </c>
      <c r="C20">
        <v>0.65400000000000003</v>
      </c>
    </row>
    <row r="21" spans="1:3" x14ac:dyDescent="0.35">
      <c r="A21" t="s">
        <v>277</v>
      </c>
      <c r="B21" t="str">
        <f t="shared" si="0"/>
        <v>Bolivia (Plurinational State of)</v>
      </c>
      <c r="C21">
        <v>0.71799999999999997</v>
      </c>
    </row>
    <row r="22" spans="1:3" x14ac:dyDescent="0.35">
      <c r="A22" t="s">
        <v>278</v>
      </c>
      <c r="B22" t="str">
        <f t="shared" si="0"/>
        <v>Bosnia and Herzegovina</v>
      </c>
      <c r="C22">
        <v>0.78</v>
      </c>
    </row>
    <row r="23" spans="1:3" x14ac:dyDescent="0.35">
      <c r="A23" t="s">
        <v>279</v>
      </c>
      <c r="B23" t="str">
        <f t="shared" si="0"/>
        <v>Botswana</v>
      </c>
      <c r="C23">
        <v>0.73499999999999999</v>
      </c>
    </row>
    <row r="24" spans="1:3" x14ac:dyDescent="0.35">
      <c r="A24" t="s">
        <v>280</v>
      </c>
      <c r="B24" t="str">
        <f t="shared" si="0"/>
        <v>Brazil</v>
      </c>
      <c r="C24">
        <v>0.76500000000000001</v>
      </c>
    </row>
    <row r="25" spans="1:3" x14ac:dyDescent="0.35">
      <c r="A25" t="s">
        <v>281</v>
      </c>
      <c r="B25" t="str">
        <f t="shared" si="0"/>
        <v>Brunei Darussalam</v>
      </c>
      <c r="C25">
        <v>0.83799999999999997</v>
      </c>
    </row>
    <row r="26" spans="1:3" x14ac:dyDescent="0.35">
      <c r="A26" t="s">
        <v>282</v>
      </c>
      <c r="B26" t="str">
        <f t="shared" si="0"/>
        <v>Bulgaria</v>
      </c>
      <c r="C26">
        <v>0.81599999999999995</v>
      </c>
    </row>
    <row r="27" spans="1:3" x14ac:dyDescent="0.35">
      <c r="A27" t="s">
        <v>283</v>
      </c>
      <c r="B27" t="str">
        <f t="shared" si="0"/>
        <v>Burkina Faso</v>
      </c>
      <c r="C27">
        <v>0.45200000000000001</v>
      </c>
    </row>
    <row r="28" spans="1:3" x14ac:dyDescent="0.35">
      <c r="A28" t="s">
        <v>284</v>
      </c>
      <c r="B28" t="str">
        <f t="shared" si="0"/>
        <v>Burundi</v>
      </c>
      <c r="C28">
        <v>0.433</v>
      </c>
    </row>
    <row r="29" spans="1:3" x14ac:dyDescent="0.35">
      <c r="A29" t="s">
        <v>285</v>
      </c>
      <c r="B29" t="str">
        <f t="shared" si="0"/>
        <v>Cabo Verde</v>
      </c>
      <c r="C29">
        <v>0.66500000000000004</v>
      </c>
    </row>
    <row r="30" spans="1:3" x14ac:dyDescent="0.35">
      <c r="A30" t="s">
        <v>286</v>
      </c>
      <c r="B30" t="str">
        <f t="shared" si="0"/>
        <v>Cambodia</v>
      </c>
      <c r="C30">
        <v>0.59399999999999997</v>
      </c>
    </row>
    <row r="31" spans="1:3" x14ac:dyDescent="0.35">
      <c r="A31" t="s">
        <v>287</v>
      </c>
      <c r="B31" t="str">
        <f t="shared" si="0"/>
        <v>Cameroon</v>
      </c>
      <c r="C31">
        <v>0.56299999999999994</v>
      </c>
    </row>
    <row r="32" spans="1:3" x14ac:dyDescent="0.35">
      <c r="A32" t="s">
        <v>422</v>
      </c>
      <c r="B32" t="str">
        <f t="shared" si="0"/>
        <v>Canada</v>
      </c>
      <c r="C32">
        <v>0.92900000000000005</v>
      </c>
    </row>
    <row r="33" spans="1:3" x14ac:dyDescent="0.35">
      <c r="A33" t="s">
        <v>288</v>
      </c>
      <c r="B33" t="str">
        <f t="shared" si="0"/>
        <v>Central African Republic</v>
      </c>
      <c r="C33">
        <v>0.39700000000000002</v>
      </c>
    </row>
    <row r="34" spans="1:3" x14ac:dyDescent="0.35">
      <c r="A34" t="s">
        <v>289</v>
      </c>
      <c r="B34" t="str">
        <f t="shared" si="0"/>
        <v>Chad</v>
      </c>
      <c r="C34">
        <v>0.39800000000000002</v>
      </c>
    </row>
    <row r="35" spans="1:3" x14ac:dyDescent="0.35">
      <c r="A35" t="s">
        <v>290</v>
      </c>
      <c r="B35" t="str">
        <f t="shared" si="0"/>
        <v>Chile</v>
      </c>
      <c r="C35">
        <v>0.85099999999999998</v>
      </c>
    </row>
    <row r="36" spans="1:3" x14ac:dyDescent="0.35">
      <c r="A36" t="s">
        <v>291</v>
      </c>
      <c r="B36" t="str">
        <f t="shared" si="0"/>
        <v>China</v>
      </c>
      <c r="C36">
        <v>0.76100000000000001</v>
      </c>
    </row>
    <row r="37" spans="1:3" x14ac:dyDescent="0.35">
      <c r="A37" t="s">
        <v>292</v>
      </c>
      <c r="B37" t="str">
        <f t="shared" si="0"/>
        <v>Colombia</v>
      </c>
      <c r="C37">
        <v>0.76700000000000002</v>
      </c>
    </row>
    <row r="38" spans="1:3" x14ac:dyDescent="0.35">
      <c r="A38" t="s">
        <v>293</v>
      </c>
      <c r="B38" t="str">
        <f t="shared" si="0"/>
        <v>Comoros</v>
      </c>
      <c r="C38">
        <v>0.55400000000000005</v>
      </c>
    </row>
    <row r="39" spans="1:3" x14ac:dyDescent="0.35">
      <c r="A39" t="s">
        <v>294</v>
      </c>
      <c r="B39" t="str">
        <f t="shared" si="0"/>
        <v>Congo</v>
      </c>
      <c r="C39">
        <v>0.57399999999999995</v>
      </c>
    </row>
    <row r="40" spans="1:3" x14ac:dyDescent="0.35">
      <c r="A40" t="s">
        <v>295</v>
      </c>
      <c r="B40" t="str">
        <f t="shared" si="0"/>
        <v>Congo (Democratic Republic of the)</v>
      </c>
      <c r="C40">
        <v>0.48</v>
      </c>
    </row>
    <row r="41" spans="1:3" x14ac:dyDescent="0.35">
      <c r="A41" t="s">
        <v>296</v>
      </c>
      <c r="B41" t="str">
        <f t="shared" si="0"/>
        <v>Costa Rica</v>
      </c>
      <c r="C41">
        <v>0.81</v>
      </c>
    </row>
    <row r="42" spans="1:3" x14ac:dyDescent="0.35">
      <c r="A42" t="s">
        <v>297</v>
      </c>
      <c r="B42" t="str">
        <f t="shared" si="0"/>
        <v>Croatia</v>
      </c>
      <c r="C42">
        <v>0.85099999999999998</v>
      </c>
    </row>
    <row r="43" spans="1:3" x14ac:dyDescent="0.35">
      <c r="A43" t="s">
        <v>298</v>
      </c>
      <c r="B43" t="str">
        <f t="shared" si="0"/>
        <v>Cuba</v>
      </c>
      <c r="C43">
        <v>0.78300000000000003</v>
      </c>
    </row>
    <row r="44" spans="1:3" x14ac:dyDescent="0.35">
      <c r="A44" t="s">
        <v>299</v>
      </c>
      <c r="B44" t="str">
        <f t="shared" si="0"/>
        <v>Cyprus</v>
      </c>
      <c r="C44">
        <v>0.88700000000000001</v>
      </c>
    </row>
    <row r="45" spans="1:3" x14ac:dyDescent="0.35">
      <c r="A45" t="s">
        <v>424</v>
      </c>
      <c r="B45" t="str">
        <f t="shared" si="0"/>
        <v>Czechia</v>
      </c>
      <c r="C45">
        <v>0.9</v>
      </c>
    </row>
    <row r="46" spans="1:3" x14ac:dyDescent="0.35">
      <c r="A46" t="s">
        <v>300</v>
      </c>
      <c r="B46" t="str">
        <f t="shared" si="0"/>
        <v>Côte d'Ivoire</v>
      </c>
      <c r="C46">
        <v>0.53800000000000003</v>
      </c>
    </row>
    <row r="47" spans="1:3" x14ac:dyDescent="0.35">
      <c r="A47" t="s">
        <v>428</v>
      </c>
      <c r="B47" t="str">
        <f t="shared" si="0"/>
        <v>Denmark</v>
      </c>
      <c r="C47">
        <v>0.94</v>
      </c>
    </row>
    <row r="48" spans="1:3" x14ac:dyDescent="0.35">
      <c r="A48" t="s">
        <v>426</v>
      </c>
      <c r="B48" t="str">
        <f t="shared" si="0"/>
        <v>Djibouti</v>
      </c>
      <c r="C48">
        <v>0.52400000000000002</v>
      </c>
    </row>
    <row r="49" spans="1:3" x14ac:dyDescent="0.35">
      <c r="A49" t="s">
        <v>427</v>
      </c>
      <c r="B49" t="str">
        <f t="shared" si="0"/>
        <v>Dominica</v>
      </c>
      <c r="C49">
        <v>0.74199999999999999</v>
      </c>
    </row>
    <row r="50" spans="1:3" x14ac:dyDescent="0.35">
      <c r="A50" t="s">
        <v>301</v>
      </c>
      <c r="B50" t="str">
        <f t="shared" si="0"/>
        <v>Dominican Republic</v>
      </c>
      <c r="C50">
        <v>0.75600000000000001</v>
      </c>
    </row>
    <row r="51" spans="1:3" x14ac:dyDescent="0.35">
      <c r="A51" t="s">
        <v>302</v>
      </c>
      <c r="B51" t="str">
        <f t="shared" si="0"/>
        <v>Ecuador</v>
      </c>
      <c r="C51">
        <v>0.75900000000000001</v>
      </c>
    </row>
    <row r="52" spans="1:3" x14ac:dyDescent="0.35">
      <c r="A52" t="s">
        <v>303</v>
      </c>
      <c r="B52" t="str">
        <f t="shared" si="0"/>
        <v>Egypt</v>
      </c>
      <c r="C52">
        <v>0.70699999999999996</v>
      </c>
    </row>
    <row r="53" spans="1:3" x14ac:dyDescent="0.35">
      <c r="A53" t="s">
        <v>304</v>
      </c>
      <c r="B53" t="str">
        <f t="shared" si="0"/>
        <v>El Salvador</v>
      </c>
      <c r="C53">
        <v>0.67300000000000004</v>
      </c>
    </row>
    <row r="54" spans="1:3" x14ac:dyDescent="0.35">
      <c r="A54" t="s">
        <v>305</v>
      </c>
      <c r="B54" t="str">
        <f t="shared" si="0"/>
        <v>Equatorial Guinea</v>
      </c>
      <c r="C54">
        <v>0.59199999999999997</v>
      </c>
    </row>
    <row r="55" spans="1:3" x14ac:dyDescent="0.35">
      <c r="A55" t="s">
        <v>306</v>
      </c>
      <c r="B55" t="str">
        <f t="shared" si="0"/>
        <v>Eritrea</v>
      </c>
      <c r="C55">
        <v>0.45900000000000002</v>
      </c>
    </row>
    <row r="56" spans="1:3" x14ac:dyDescent="0.35">
      <c r="A56" t="s">
        <v>307</v>
      </c>
      <c r="B56" t="str">
        <f t="shared" si="0"/>
        <v>Estonia</v>
      </c>
      <c r="C56">
        <v>0.89200000000000002</v>
      </c>
    </row>
    <row r="57" spans="1:3" x14ac:dyDescent="0.35">
      <c r="A57" t="s">
        <v>308</v>
      </c>
      <c r="B57" t="str">
        <f t="shared" si="0"/>
        <v>Eswatini (Kingdom of)</v>
      </c>
      <c r="C57">
        <v>0.61099999999999999</v>
      </c>
    </row>
    <row r="58" spans="1:3" x14ac:dyDescent="0.35">
      <c r="A58" t="s">
        <v>309</v>
      </c>
      <c r="B58" t="str">
        <f t="shared" si="0"/>
        <v>Ethiopia</v>
      </c>
      <c r="C58">
        <v>0.48499999999999999</v>
      </c>
    </row>
    <row r="59" spans="1:3" x14ac:dyDescent="0.35">
      <c r="A59" t="s">
        <v>310</v>
      </c>
      <c r="B59" t="str">
        <f t="shared" si="0"/>
        <v>Fiji</v>
      </c>
      <c r="C59">
        <v>0.74299999999999999</v>
      </c>
    </row>
    <row r="60" spans="1:3" x14ac:dyDescent="0.35">
      <c r="A60" t="s">
        <v>429</v>
      </c>
      <c r="B60" t="str">
        <f t="shared" si="0"/>
        <v>Finland</v>
      </c>
      <c r="C60">
        <v>0.93799999999999994</v>
      </c>
    </row>
    <row r="61" spans="1:3" x14ac:dyDescent="0.35">
      <c r="A61" t="s">
        <v>430</v>
      </c>
      <c r="B61" t="str">
        <f t="shared" si="0"/>
        <v>France</v>
      </c>
      <c r="C61">
        <v>0.90100000000000002</v>
      </c>
    </row>
    <row r="62" spans="1:3" x14ac:dyDescent="0.35">
      <c r="A62" t="s">
        <v>311</v>
      </c>
      <c r="B62" t="str">
        <f t="shared" si="0"/>
        <v>Gabon</v>
      </c>
      <c r="C62">
        <v>0.70299999999999996</v>
      </c>
    </row>
    <row r="63" spans="1:3" x14ac:dyDescent="0.35">
      <c r="A63" t="s">
        <v>312</v>
      </c>
      <c r="B63" t="str">
        <f t="shared" si="0"/>
        <v>Gambia</v>
      </c>
      <c r="C63">
        <v>0.496</v>
      </c>
    </row>
    <row r="64" spans="1:3" x14ac:dyDescent="0.35">
      <c r="A64" t="s">
        <v>313</v>
      </c>
      <c r="B64" t="str">
        <f t="shared" si="0"/>
        <v>Georgia</v>
      </c>
      <c r="C64">
        <v>0.81200000000000006</v>
      </c>
    </row>
    <row r="65" spans="1:3" x14ac:dyDescent="0.35">
      <c r="A65" t="s">
        <v>425</v>
      </c>
      <c r="B65" t="str">
        <f t="shared" si="0"/>
        <v>Germany</v>
      </c>
      <c r="C65">
        <v>0.94699999999999995</v>
      </c>
    </row>
    <row r="66" spans="1:3" x14ac:dyDescent="0.35">
      <c r="A66" t="s">
        <v>314</v>
      </c>
      <c r="B66" t="str">
        <f t="shared" ref="B66:B129" si="1">TRIM(A66)</f>
        <v>Ghana</v>
      </c>
      <c r="C66">
        <v>0.61099999999999999</v>
      </c>
    </row>
    <row r="67" spans="1:3" x14ac:dyDescent="0.35">
      <c r="A67" t="s">
        <v>315</v>
      </c>
      <c r="B67" t="str">
        <f t="shared" si="1"/>
        <v>Greece</v>
      </c>
      <c r="C67">
        <v>0.88800000000000001</v>
      </c>
    </row>
    <row r="68" spans="1:3" x14ac:dyDescent="0.35">
      <c r="A68" t="s">
        <v>316</v>
      </c>
      <c r="B68" t="str">
        <f t="shared" si="1"/>
        <v>Grenada</v>
      </c>
      <c r="C68">
        <v>0.77900000000000003</v>
      </c>
    </row>
    <row r="69" spans="1:3" x14ac:dyDescent="0.35">
      <c r="A69" t="s">
        <v>317</v>
      </c>
      <c r="B69" t="str">
        <f t="shared" si="1"/>
        <v>Guatemala</v>
      </c>
      <c r="C69">
        <v>0.66300000000000003</v>
      </c>
    </row>
    <row r="70" spans="1:3" x14ac:dyDescent="0.35">
      <c r="A70" t="s">
        <v>318</v>
      </c>
      <c r="B70" t="str">
        <f t="shared" si="1"/>
        <v>Guinea</v>
      </c>
      <c r="C70">
        <v>0.47699999999999998</v>
      </c>
    </row>
    <row r="71" spans="1:3" x14ac:dyDescent="0.35">
      <c r="A71" t="s">
        <v>319</v>
      </c>
      <c r="B71" t="str">
        <f t="shared" si="1"/>
        <v>Guinea-Bissau</v>
      </c>
      <c r="C71">
        <v>0.48</v>
      </c>
    </row>
    <row r="72" spans="1:3" x14ac:dyDescent="0.35">
      <c r="A72" t="s">
        <v>320</v>
      </c>
      <c r="B72" t="str">
        <f t="shared" si="1"/>
        <v>Guyana</v>
      </c>
      <c r="C72">
        <v>0.68200000000000005</v>
      </c>
    </row>
    <row r="73" spans="1:3" x14ac:dyDescent="0.35">
      <c r="A73" t="s">
        <v>321</v>
      </c>
      <c r="B73" t="str">
        <f t="shared" si="1"/>
        <v>Haiti</v>
      </c>
      <c r="C73">
        <v>0.51</v>
      </c>
    </row>
    <row r="74" spans="1:3" x14ac:dyDescent="0.35">
      <c r="A74" t="s">
        <v>322</v>
      </c>
      <c r="B74" t="str">
        <f t="shared" si="1"/>
        <v>Honduras</v>
      </c>
      <c r="C74">
        <v>0.63400000000000001</v>
      </c>
    </row>
    <row r="75" spans="1:3" x14ac:dyDescent="0.35">
      <c r="A75" t="s">
        <v>433</v>
      </c>
      <c r="B75" t="str">
        <f t="shared" si="1"/>
        <v>Hong Kong, China (SAR)</v>
      </c>
      <c r="C75">
        <v>0.94899999999999995</v>
      </c>
    </row>
    <row r="76" spans="1:3" x14ac:dyDescent="0.35">
      <c r="A76" t="s">
        <v>323</v>
      </c>
      <c r="B76" t="str">
        <f t="shared" si="1"/>
        <v>Hungary</v>
      </c>
      <c r="C76">
        <v>0.85399999999999998</v>
      </c>
    </row>
    <row r="77" spans="1:3" x14ac:dyDescent="0.35">
      <c r="A77" t="s">
        <v>435</v>
      </c>
      <c r="B77" t="str">
        <f t="shared" si="1"/>
        <v>Iceland</v>
      </c>
      <c r="C77">
        <v>0.94899999999999995</v>
      </c>
    </row>
    <row r="78" spans="1:3" x14ac:dyDescent="0.35">
      <c r="A78" t="s">
        <v>324</v>
      </c>
      <c r="B78" t="str">
        <f t="shared" si="1"/>
        <v>India</v>
      </c>
      <c r="C78">
        <v>0.64500000000000002</v>
      </c>
    </row>
    <row r="79" spans="1:3" x14ac:dyDescent="0.35">
      <c r="A79" t="s">
        <v>325</v>
      </c>
      <c r="B79" t="str">
        <f t="shared" si="1"/>
        <v>Indonesia</v>
      </c>
      <c r="C79">
        <v>0.71799999999999997</v>
      </c>
    </row>
    <row r="80" spans="1:3" x14ac:dyDescent="0.35">
      <c r="A80" t="s">
        <v>326</v>
      </c>
      <c r="B80" t="str">
        <f t="shared" si="1"/>
        <v>Iran (Islamic Republic of)</v>
      </c>
      <c r="C80">
        <v>0.78300000000000003</v>
      </c>
    </row>
    <row r="81" spans="1:3" x14ac:dyDescent="0.35">
      <c r="A81" t="s">
        <v>327</v>
      </c>
      <c r="B81" t="str">
        <f t="shared" si="1"/>
        <v>Iraq</v>
      </c>
      <c r="C81">
        <v>0.67400000000000004</v>
      </c>
    </row>
    <row r="82" spans="1:3" x14ac:dyDescent="0.35">
      <c r="A82" t="s">
        <v>434</v>
      </c>
      <c r="B82" t="str">
        <f t="shared" si="1"/>
        <v>Ireland</v>
      </c>
      <c r="C82">
        <v>0.95499999999999996</v>
      </c>
    </row>
    <row r="83" spans="1:3" x14ac:dyDescent="0.35">
      <c r="A83" t="s">
        <v>436</v>
      </c>
      <c r="B83" t="str">
        <f t="shared" si="1"/>
        <v>Israel</v>
      </c>
      <c r="C83">
        <v>0.91900000000000004</v>
      </c>
    </row>
    <row r="84" spans="1:3" x14ac:dyDescent="0.35">
      <c r="A84" t="s">
        <v>328</v>
      </c>
      <c r="B84" t="str">
        <f t="shared" si="1"/>
        <v>Italy</v>
      </c>
      <c r="C84">
        <v>0.89200000000000002</v>
      </c>
    </row>
    <row r="85" spans="1:3" x14ac:dyDescent="0.35">
      <c r="A85" t="s">
        <v>329</v>
      </c>
      <c r="B85" t="str">
        <f t="shared" si="1"/>
        <v>Jamaica</v>
      </c>
      <c r="C85">
        <v>0.73399999999999999</v>
      </c>
    </row>
    <row r="86" spans="1:3" x14ac:dyDescent="0.35">
      <c r="A86" t="s">
        <v>437</v>
      </c>
      <c r="B86" t="str">
        <f t="shared" si="1"/>
        <v>Japan</v>
      </c>
      <c r="C86">
        <v>0.91900000000000004</v>
      </c>
    </row>
    <row r="87" spans="1:3" x14ac:dyDescent="0.35">
      <c r="A87" t="s">
        <v>330</v>
      </c>
      <c r="B87" t="str">
        <f t="shared" si="1"/>
        <v>Jordan</v>
      </c>
      <c r="C87">
        <v>0.72899999999999998</v>
      </c>
    </row>
    <row r="88" spans="1:3" x14ac:dyDescent="0.35">
      <c r="A88" t="s">
        <v>331</v>
      </c>
      <c r="B88" t="str">
        <f t="shared" si="1"/>
        <v>Kazakhstan</v>
      </c>
      <c r="C88">
        <v>0.82499999999999996</v>
      </c>
    </row>
    <row r="89" spans="1:3" x14ac:dyDescent="0.35">
      <c r="A89" t="s">
        <v>332</v>
      </c>
      <c r="B89" t="str">
        <f t="shared" si="1"/>
        <v>Kenya</v>
      </c>
      <c r="C89">
        <v>0.60099999999999998</v>
      </c>
    </row>
    <row r="90" spans="1:3" x14ac:dyDescent="0.35">
      <c r="A90" t="s">
        <v>438</v>
      </c>
      <c r="B90" t="str">
        <f t="shared" si="1"/>
        <v>Kiribati</v>
      </c>
      <c r="C90">
        <v>0.63</v>
      </c>
    </row>
    <row r="91" spans="1:3" x14ac:dyDescent="0.35">
      <c r="A91" t="s">
        <v>440</v>
      </c>
      <c r="B91" t="str">
        <f t="shared" si="1"/>
        <v>Korea (Republic of)</v>
      </c>
      <c r="C91">
        <v>0.91600000000000004</v>
      </c>
    </row>
    <row r="92" spans="1:3" x14ac:dyDescent="0.35">
      <c r="A92" t="s">
        <v>334</v>
      </c>
      <c r="B92" t="str">
        <f t="shared" si="1"/>
        <v>Kuwait</v>
      </c>
      <c r="C92">
        <v>0.80600000000000005</v>
      </c>
    </row>
    <row r="93" spans="1:3" x14ac:dyDescent="0.35">
      <c r="A93" t="s">
        <v>335</v>
      </c>
      <c r="B93" t="str">
        <f t="shared" si="1"/>
        <v>Kyrgyzstan</v>
      </c>
      <c r="C93">
        <v>0.69699999999999995</v>
      </c>
    </row>
    <row r="94" spans="1:3" x14ac:dyDescent="0.35">
      <c r="A94" t="s">
        <v>336</v>
      </c>
      <c r="B94" t="str">
        <f t="shared" si="1"/>
        <v>Lao People's Democratic Republic</v>
      </c>
      <c r="C94">
        <v>0.61299999999999999</v>
      </c>
    </row>
    <row r="95" spans="1:3" x14ac:dyDescent="0.35">
      <c r="A95" t="s">
        <v>337</v>
      </c>
      <c r="B95" t="str">
        <f t="shared" si="1"/>
        <v>Latvia</v>
      </c>
      <c r="C95">
        <v>0.86599999999999999</v>
      </c>
    </row>
    <row r="96" spans="1:3" x14ac:dyDescent="0.35">
      <c r="A96" t="s">
        <v>338</v>
      </c>
      <c r="B96" t="str">
        <f t="shared" si="1"/>
        <v>Lebanon</v>
      </c>
      <c r="C96">
        <v>0.74399999999999999</v>
      </c>
    </row>
    <row r="97" spans="1:3" x14ac:dyDescent="0.35">
      <c r="A97" t="s">
        <v>339</v>
      </c>
      <c r="B97" t="str">
        <f t="shared" si="1"/>
        <v>Lesotho</v>
      </c>
      <c r="C97">
        <v>0.52700000000000002</v>
      </c>
    </row>
    <row r="98" spans="1:3" x14ac:dyDescent="0.35">
      <c r="A98" t="s">
        <v>340</v>
      </c>
      <c r="B98" t="str">
        <f t="shared" si="1"/>
        <v>Liberia</v>
      </c>
      <c r="C98">
        <v>0.48</v>
      </c>
    </row>
    <row r="99" spans="1:3" x14ac:dyDescent="0.35">
      <c r="A99" t="s">
        <v>441</v>
      </c>
      <c r="B99" t="str">
        <f t="shared" si="1"/>
        <v>Libya</v>
      </c>
      <c r="C99">
        <v>0.72399999999999998</v>
      </c>
    </row>
    <row r="100" spans="1:3" x14ac:dyDescent="0.35">
      <c r="A100" t="s">
        <v>443</v>
      </c>
      <c r="B100" t="str">
        <f t="shared" si="1"/>
        <v>Liechtenstein</v>
      </c>
      <c r="C100">
        <v>0.91900000000000004</v>
      </c>
    </row>
    <row r="101" spans="1:3" x14ac:dyDescent="0.35">
      <c r="A101" t="s">
        <v>341</v>
      </c>
      <c r="B101" t="str">
        <f t="shared" si="1"/>
        <v>Lithuania</v>
      </c>
      <c r="C101">
        <v>0.88200000000000001</v>
      </c>
    </row>
    <row r="102" spans="1:3" x14ac:dyDescent="0.35">
      <c r="A102" t="s">
        <v>444</v>
      </c>
      <c r="B102" t="str">
        <f t="shared" si="1"/>
        <v>Luxembourg</v>
      </c>
      <c r="C102">
        <v>0.91600000000000004</v>
      </c>
    </row>
    <row r="103" spans="1:3" x14ac:dyDescent="0.35">
      <c r="A103" t="s">
        <v>342</v>
      </c>
      <c r="B103" t="str">
        <f t="shared" si="1"/>
        <v>Madagascar</v>
      </c>
      <c r="C103">
        <v>0.52800000000000002</v>
      </c>
    </row>
    <row r="104" spans="1:3" x14ac:dyDescent="0.35">
      <c r="A104" t="s">
        <v>343</v>
      </c>
      <c r="B104" t="str">
        <f t="shared" si="1"/>
        <v>Malawi</v>
      </c>
      <c r="C104">
        <v>0.48299999999999998</v>
      </c>
    </row>
    <row r="105" spans="1:3" x14ac:dyDescent="0.35">
      <c r="A105" t="s">
        <v>344</v>
      </c>
      <c r="B105" t="str">
        <f t="shared" si="1"/>
        <v>Malaysia</v>
      </c>
      <c r="C105">
        <v>0.81</v>
      </c>
    </row>
    <row r="106" spans="1:3" x14ac:dyDescent="0.35">
      <c r="A106" t="s">
        <v>345</v>
      </c>
      <c r="B106" t="str">
        <f t="shared" si="1"/>
        <v>Maldives</v>
      </c>
      <c r="C106">
        <v>0.74</v>
      </c>
    </row>
    <row r="107" spans="1:3" x14ac:dyDescent="0.35">
      <c r="A107" t="s">
        <v>346</v>
      </c>
      <c r="B107" t="str">
        <f t="shared" si="1"/>
        <v>Mali</v>
      </c>
      <c r="C107">
        <v>0.434</v>
      </c>
    </row>
    <row r="108" spans="1:3" x14ac:dyDescent="0.35">
      <c r="A108" t="s">
        <v>347</v>
      </c>
      <c r="B108" t="str">
        <f t="shared" si="1"/>
        <v>Malta</v>
      </c>
      <c r="C108">
        <v>0.89500000000000002</v>
      </c>
    </row>
    <row r="109" spans="1:3" x14ac:dyDescent="0.35">
      <c r="A109" t="s">
        <v>348</v>
      </c>
      <c r="B109" t="str">
        <f t="shared" si="1"/>
        <v>Marshall Islands</v>
      </c>
      <c r="C109">
        <v>0.70399999999999996</v>
      </c>
    </row>
    <row r="110" spans="1:3" x14ac:dyDescent="0.35">
      <c r="A110" t="s">
        <v>349</v>
      </c>
      <c r="B110" t="str">
        <f t="shared" si="1"/>
        <v>Mauritania</v>
      </c>
      <c r="C110">
        <v>0.54600000000000004</v>
      </c>
    </row>
    <row r="111" spans="1:3" x14ac:dyDescent="0.35">
      <c r="A111" t="s">
        <v>350</v>
      </c>
      <c r="B111" t="str">
        <f t="shared" si="1"/>
        <v>Mauritius</v>
      </c>
      <c r="C111">
        <v>0.80400000000000005</v>
      </c>
    </row>
    <row r="112" spans="1:3" x14ac:dyDescent="0.35">
      <c r="A112" t="s">
        <v>351</v>
      </c>
      <c r="B112" t="str">
        <f t="shared" si="1"/>
        <v>Mexico</v>
      </c>
      <c r="C112">
        <v>0.77900000000000003</v>
      </c>
    </row>
    <row r="113" spans="1:3" x14ac:dyDescent="0.35">
      <c r="A113" t="s">
        <v>431</v>
      </c>
      <c r="B113" t="str">
        <f t="shared" si="1"/>
        <v>Micronesia (Federated States of)</v>
      </c>
      <c r="C113">
        <v>0.62</v>
      </c>
    </row>
    <row r="114" spans="1:3" x14ac:dyDescent="0.35">
      <c r="A114" t="s">
        <v>352</v>
      </c>
      <c r="B114" t="str">
        <f t="shared" si="1"/>
        <v>Moldova (Republic of)</v>
      </c>
      <c r="C114">
        <v>0.75</v>
      </c>
    </row>
    <row r="115" spans="1:3" x14ac:dyDescent="0.35">
      <c r="A115" t="s">
        <v>353</v>
      </c>
      <c r="B115" t="str">
        <f t="shared" si="1"/>
        <v>Mongolia</v>
      </c>
      <c r="C115">
        <v>0.73699999999999999</v>
      </c>
    </row>
    <row r="116" spans="1:3" x14ac:dyDescent="0.35">
      <c r="A116" t="s">
        <v>354</v>
      </c>
      <c r="B116" t="str">
        <f t="shared" si="1"/>
        <v>Montenegro</v>
      </c>
      <c r="C116">
        <v>0.82899999999999996</v>
      </c>
    </row>
    <row r="117" spans="1:3" x14ac:dyDescent="0.35">
      <c r="A117" t="s">
        <v>355</v>
      </c>
      <c r="B117" t="str">
        <f t="shared" si="1"/>
        <v>Morocco</v>
      </c>
      <c r="C117">
        <v>0.68600000000000005</v>
      </c>
    </row>
    <row r="118" spans="1:3" x14ac:dyDescent="0.35">
      <c r="A118" t="s">
        <v>356</v>
      </c>
      <c r="B118" t="str">
        <f t="shared" si="1"/>
        <v>Mozambique</v>
      </c>
      <c r="C118">
        <v>0.45600000000000002</v>
      </c>
    </row>
    <row r="119" spans="1:3" x14ac:dyDescent="0.35">
      <c r="A119" t="s">
        <v>357</v>
      </c>
      <c r="B119" t="str">
        <f t="shared" si="1"/>
        <v>Myanmar</v>
      </c>
      <c r="C119">
        <v>0.58299999999999996</v>
      </c>
    </row>
    <row r="120" spans="1:3" x14ac:dyDescent="0.35">
      <c r="A120" t="s">
        <v>358</v>
      </c>
      <c r="B120" t="str">
        <f t="shared" si="1"/>
        <v>Namibia</v>
      </c>
      <c r="C120">
        <v>0.64600000000000002</v>
      </c>
    </row>
    <row r="121" spans="1:3" x14ac:dyDescent="0.35">
      <c r="A121" t="s">
        <v>359</v>
      </c>
      <c r="B121" t="str">
        <f t="shared" si="1"/>
        <v>Nepal</v>
      </c>
      <c r="C121">
        <v>0.60199999999999998</v>
      </c>
    </row>
    <row r="122" spans="1:3" x14ac:dyDescent="0.35">
      <c r="A122" t="s">
        <v>445</v>
      </c>
      <c r="B122" t="str">
        <f t="shared" si="1"/>
        <v>Netherlands</v>
      </c>
      <c r="C122">
        <v>0.94399999999999995</v>
      </c>
    </row>
    <row r="123" spans="1:3" x14ac:dyDescent="0.35">
      <c r="A123" t="s">
        <v>447</v>
      </c>
      <c r="B123" t="str">
        <f t="shared" si="1"/>
        <v>New Zealand</v>
      </c>
      <c r="C123">
        <v>0.93100000000000005</v>
      </c>
    </row>
    <row r="124" spans="1:3" x14ac:dyDescent="0.35">
      <c r="A124" t="s">
        <v>360</v>
      </c>
      <c r="B124" t="str">
        <f t="shared" si="1"/>
        <v>Nicaragua</v>
      </c>
      <c r="C124">
        <v>0.66</v>
      </c>
    </row>
    <row r="125" spans="1:3" x14ac:dyDescent="0.35">
      <c r="A125" t="s">
        <v>361</v>
      </c>
      <c r="B125" t="str">
        <f t="shared" si="1"/>
        <v>Niger</v>
      </c>
      <c r="C125">
        <v>0.39400000000000002</v>
      </c>
    </row>
    <row r="126" spans="1:3" x14ac:dyDescent="0.35">
      <c r="A126" t="s">
        <v>362</v>
      </c>
      <c r="B126" t="str">
        <f t="shared" si="1"/>
        <v>Nigeria</v>
      </c>
      <c r="C126">
        <v>0.53900000000000003</v>
      </c>
    </row>
    <row r="127" spans="1:3" x14ac:dyDescent="0.35">
      <c r="A127" t="s">
        <v>363</v>
      </c>
      <c r="B127" t="str">
        <f t="shared" si="1"/>
        <v>North Macedonia</v>
      </c>
      <c r="C127">
        <v>0.77400000000000002</v>
      </c>
    </row>
    <row r="128" spans="1:3" x14ac:dyDescent="0.35">
      <c r="A128" t="s">
        <v>446</v>
      </c>
      <c r="B128" t="str">
        <f t="shared" si="1"/>
        <v>Norway</v>
      </c>
      <c r="C128">
        <v>0.95699999999999996</v>
      </c>
    </row>
    <row r="129" spans="1:3" x14ac:dyDescent="0.35">
      <c r="A129" t="s">
        <v>364</v>
      </c>
      <c r="B129" t="str">
        <f t="shared" si="1"/>
        <v>Oman</v>
      </c>
      <c r="C129">
        <v>0.81299999999999994</v>
      </c>
    </row>
    <row r="130" spans="1:3" x14ac:dyDescent="0.35">
      <c r="A130" t="s">
        <v>365</v>
      </c>
      <c r="B130" t="str">
        <f t="shared" ref="B130:B193" si="2">TRIM(A130)</f>
        <v>Pakistan</v>
      </c>
      <c r="C130">
        <v>0.55700000000000005</v>
      </c>
    </row>
    <row r="131" spans="1:3" x14ac:dyDescent="0.35">
      <c r="A131" t="s">
        <v>366</v>
      </c>
      <c r="B131" t="str">
        <f t="shared" si="2"/>
        <v>Palau</v>
      </c>
      <c r="C131">
        <v>0.82599999999999996</v>
      </c>
    </row>
    <row r="132" spans="1:3" x14ac:dyDescent="0.35">
      <c r="A132" t="s">
        <v>367</v>
      </c>
      <c r="B132" t="str">
        <f t="shared" si="2"/>
        <v>Palestine, State of</v>
      </c>
      <c r="C132">
        <v>0.70799999999999996</v>
      </c>
    </row>
    <row r="133" spans="1:3" x14ac:dyDescent="0.35">
      <c r="A133" t="s">
        <v>368</v>
      </c>
      <c r="B133" t="str">
        <f t="shared" si="2"/>
        <v>Panama</v>
      </c>
      <c r="C133">
        <v>0.81499999999999995</v>
      </c>
    </row>
    <row r="134" spans="1:3" x14ac:dyDescent="0.35">
      <c r="A134" t="s">
        <v>369</v>
      </c>
      <c r="B134" t="str">
        <f t="shared" si="2"/>
        <v>Papua New Guinea</v>
      </c>
      <c r="C134">
        <v>0.55500000000000005</v>
      </c>
    </row>
    <row r="135" spans="1:3" x14ac:dyDescent="0.35">
      <c r="A135" t="s">
        <v>370</v>
      </c>
      <c r="B135" t="str">
        <f t="shared" si="2"/>
        <v>Paraguay</v>
      </c>
      <c r="C135">
        <v>0.72799999999999998</v>
      </c>
    </row>
    <row r="136" spans="1:3" x14ac:dyDescent="0.35">
      <c r="A136" t="s">
        <v>371</v>
      </c>
      <c r="B136" t="str">
        <f t="shared" si="2"/>
        <v>Peru</v>
      </c>
      <c r="C136">
        <v>0.77700000000000002</v>
      </c>
    </row>
    <row r="137" spans="1:3" x14ac:dyDescent="0.35">
      <c r="A137" t="s">
        <v>372</v>
      </c>
      <c r="B137" t="str">
        <f t="shared" si="2"/>
        <v>Philippines</v>
      </c>
      <c r="C137">
        <v>0.71799999999999997</v>
      </c>
    </row>
    <row r="138" spans="1:3" x14ac:dyDescent="0.35">
      <c r="A138" t="s">
        <v>373</v>
      </c>
      <c r="B138" t="str">
        <f t="shared" si="2"/>
        <v>Poland</v>
      </c>
      <c r="C138">
        <v>0.88</v>
      </c>
    </row>
    <row r="139" spans="1:3" x14ac:dyDescent="0.35">
      <c r="A139" t="s">
        <v>374</v>
      </c>
      <c r="B139" t="str">
        <f t="shared" si="2"/>
        <v>Portugal</v>
      </c>
      <c r="C139">
        <v>0.86399999999999999</v>
      </c>
    </row>
    <row r="140" spans="1:3" x14ac:dyDescent="0.35">
      <c r="A140" t="s">
        <v>375</v>
      </c>
      <c r="B140" t="str">
        <f t="shared" si="2"/>
        <v>Qatar</v>
      </c>
      <c r="C140">
        <v>0.84799999999999998</v>
      </c>
    </row>
    <row r="141" spans="1:3" x14ac:dyDescent="0.35">
      <c r="A141" t="s">
        <v>376</v>
      </c>
      <c r="B141" t="str">
        <f t="shared" si="2"/>
        <v>Romania</v>
      </c>
      <c r="C141">
        <v>0.82799999999999996</v>
      </c>
    </row>
    <row r="142" spans="1:3" x14ac:dyDescent="0.35">
      <c r="A142" t="s">
        <v>377</v>
      </c>
      <c r="B142" t="str">
        <f t="shared" si="2"/>
        <v>Russian Federation</v>
      </c>
      <c r="C142">
        <v>0.82399999999999995</v>
      </c>
    </row>
    <row r="143" spans="1:3" x14ac:dyDescent="0.35">
      <c r="A143" t="s">
        <v>378</v>
      </c>
      <c r="B143" t="str">
        <f t="shared" si="2"/>
        <v>Rwanda</v>
      </c>
      <c r="C143">
        <v>0.54300000000000004</v>
      </c>
    </row>
    <row r="144" spans="1:3" x14ac:dyDescent="0.35">
      <c r="A144" t="s">
        <v>439</v>
      </c>
      <c r="B144" t="str">
        <f t="shared" si="2"/>
        <v>Saint Kitts and Nevis</v>
      </c>
      <c r="C144">
        <v>0.77900000000000003</v>
      </c>
    </row>
    <row r="145" spans="1:3" x14ac:dyDescent="0.35">
      <c r="A145" t="s">
        <v>442</v>
      </c>
      <c r="B145" t="str">
        <f t="shared" si="2"/>
        <v>Saint Lucia</v>
      </c>
      <c r="C145">
        <v>0.75900000000000001</v>
      </c>
    </row>
    <row r="146" spans="1:3" x14ac:dyDescent="0.35">
      <c r="A146" t="s">
        <v>452</v>
      </c>
      <c r="B146" t="str">
        <f t="shared" si="2"/>
        <v>Saint Vincent and the Grenadines</v>
      </c>
      <c r="C146">
        <v>0.73799999999999999</v>
      </c>
    </row>
    <row r="147" spans="1:3" x14ac:dyDescent="0.35">
      <c r="A147" t="s">
        <v>379</v>
      </c>
      <c r="B147" t="str">
        <f t="shared" si="2"/>
        <v>Samoa</v>
      </c>
      <c r="C147">
        <v>0.71499999999999997</v>
      </c>
    </row>
    <row r="148" spans="1:3" x14ac:dyDescent="0.35">
      <c r="A148" t="s">
        <v>381</v>
      </c>
      <c r="B148" t="str">
        <f t="shared" si="2"/>
        <v>Sao Tome and Principe</v>
      </c>
      <c r="C148">
        <v>0.625</v>
      </c>
    </row>
    <row r="149" spans="1:3" x14ac:dyDescent="0.35">
      <c r="A149" t="s">
        <v>382</v>
      </c>
      <c r="B149" t="str">
        <f t="shared" si="2"/>
        <v>Saudi Arabia</v>
      </c>
      <c r="C149">
        <v>0.85399999999999998</v>
      </c>
    </row>
    <row r="150" spans="1:3" x14ac:dyDescent="0.35">
      <c r="A150" t="s">
        <v>383</v>
      </c>
      <c r="B150" t="str">
        <f t="shared" si="2"/>
        <v>Senegal</v>
      </c>
      <c r="C150">
        <v>0.51200000000000001</v>
      </c>
    </row>
    <row r="151" spans="1:3" x14ac:dyDescent="0.35">
      <c r="A151" t="s">
        <v>384</v>
      </c>
      <c r="B151" t="str">
        <f t="shared" si="2"/>
        <v>Serbia</v>
      </c>
      <c r="C151">
        <v>0.80600000000000005</v>
      </c>
    </row>
    <row r="152" spans="1:3" x14ac:dyDescent="0.35">
      <c r="A152" t="s">
        <v>385</v>
      </c>
      <c r="B152" t="str">
        <f t="shared" si="2"/>
        <v>Seychelles</v>
      </c>
      <c r="C152">
        <v>0.79600000000000004</v>
      </c>
    </row>
    <row r="153" spans="1:3" x14ac:dyDescent="0.35">
      <c r="A153" t="s">
        <v>386</v>
      </c>
      <c r="B153" t="str">
        <f t="shared" si="2"/>
        <v>Sierra Leone</v>
      </c>
      <c r="C153">
        <v>0.45200000000000001</v>
      </c>
    </row>
    <row r="154" spans="1:3" x14ac:dyDescent="0.35">
      <c r="A154" t="s">
        <v>387</v>
      </c>
      <c r="B154" t="str">
        <f t="shared" si="2"/>
        <v>Singapore</v>
      </c>
      <c r="C154">
        <v>0.93799999999999994</v>
      </c>
    </row>
    <row r="155" spans="1:3" x14ac:dyDescent="0.35">
      <c r="A155" t="s">
        <v>448</v>
      </c>
      <c r="B155" t="str">
        <f t="shared" si="2"/>
        <v>Slovakia</v>
      </c>
      <c r="C155">
        <v>0.86</v>
      </c>
    </row>
    <row r="156" spans="1:3" x14ac:dyDescent="0.35">
      <c r="A156" t="s">
        <v>388</v>
      </c>
      <c r="B156" t="str">
        <f t="shared" si="2"/>
        <v>Slovenia</v>
      </c>
      <c r="C156">
        <v>0.91700000000000004</v>
      </c>
    </row>
    <row r="157" spans="1:3" x14ac:dyDescent="0.35">
      <c r="A157" t="s">
        <v>389</v>
      </c>
      <c r="B157" t="str">
        <f t="shared" si="2"/>
        <v>Solomon Islands</v>
      </c>
      <c r="C157">
        <v>0.56699999999999995</v>
      </c>
    </row>
    <row r="158" spans="1:3" x14ac:dyDescent="0.35">
      <c r="A158" t="s">
        <v>390</v>
      </c>
      <c r="B158" t="str">
        <f t="shared" si="2"/>
        <v>South Africa</v>
      </c>
      <c r="C158">
        <v>0.70899999999999996</v>
      </c>
    </row>
    <row r="159" spans="1:3" x14ac:dyDescent="0.35">
      <c r="A159" t="s">
        <v>391</v>
      </c>
      <c r="B159" t="str">
        <f t="shared" si="2"/>
        <v>South Sudan</v>
      </c>
      <c r="C159">
        <v>0.433</v>
      </c>
    </row>
    <row r="160" spans="1:3" x14ac:dyDescent="0.35">
      <c r="A160" t="s">
        <v>392</v>
      </c>
      <c r="B160" t="str">
        <f t="shared" si="2"/>
        <v>Spain</v>
      </c>
      <c r="C160">
        <v>0.90400000000000003</v>
      </c>
    </row>
    <row r="161" spans="1:3" x14ac:dyDescent="0.35">
      <c r="A161" t="s">
        <v>393</v>
      </c>
      <c r="B161" t="str">
        <f t="shared" si="2"/>
        <v>Sri Lanka</v>
      </c>
      <c r="C161">
        <v>0.78200000000000003</v>
      </c>
    </row>
    <row r="162" spans="1:3" x14ac:dyDescent="0.35">
      <c r="A162" t="s">
        <v>394</v>
      </c>
      <c r="B162" t="str">
        <f t="shared" si="2"/>
        <v>Sudan</v>
      </c>
      <c r="C162">
        <v>0.51</v>
      </c>
    </row>
    <row r="163" spans="1:3" x14ac:dyDescent="0.35">
      <c r="A163" t="s">
        <v>395</v>
      </c>
      <c r="B163" t="str">
        <f t="shared" si="2"/>
        <v>Suriname</v>
      </c>
      <c r="C163">
        <v>0.73799999999999999</v>
      </c>
    </row>
    <row r="164" spans="1:3" x14ac:dyDescent="0.35">
      <c r="A164" t="s">
        <v>449</v>
      </c>
      <c r="B164" t="str">
        <f t="shared" si="2"/>
        <v>Sweden</v>
      </c>
      <c r="C164">
        <v>0.94499999999999995</v>
      </c>
    </row>
    <row r="165" spans="1:3" x14ac:dyDescent="0.35">
      <c r="A165" t="s">
        <v>423</v>
      </c>
      <c r="B165" t="str">
        <f t="shared" si="2"/>
        <v>Switzerland</v>
      </c>
      <c r="C165">
        <v>0.95499999999999996</v>
      </c>
    </row>
    <row r="166" spans="1:3" x14ac:dyDescent="0.35">
      <c r="A166" t="s">
        <v>450</v>
      </c>
      <c r="B166" t="str">
        <f t="shared" si="2"/>
        <v>Syrian Arab Republic</v>
      </c>
      <c r="C166">
        <v>0.56699999999999995</v>
      </c>
    </row>
    <row r="167" spans="1:3" x14ac:dyDescent="0.35">
      <c r="A167" t="s">
        <v>396</v>
      </c>
      <c r="B167" t="str">
        <f t="shared" si="2"/>
        <v>Tajikistan</v>
      </c>
      <c r="C167">
        <v>0.66800000000000004</v>
      </c>
    </row>
    <row r="168" spans="1:3" x14ac:dyDescent="0.35">
      <c r="A168" t="s">
        <v>397</v>
      </c>
      <c r="B168" t="str">
        <f t="shared" si="2"/>
        <v>Tanzania (United Republic of)</v>
      </c>
      <c r="C168">
        <v>0.52900000000000003</v>
      </c>
    </row>
    <row r="169" spans="1:3" x14ac:dyDescent="0.35">
      <c r="A169" t="s">
        <v>398</v>
      </c>
      <c r="B169" t="str">
        <f t="shared" si="2"/>
        <v>Thailand</v>
      </c>
      <c r="C169">
        <v>0.77700000000000002</v>
      </c>
    </row>
    <row r="170" spans="1:3" x14ac:dyDescent="0.35">
      <c r="A170" t="s">
        <v>399</v>
      </c>
      <c r="B170" t="str">
        <f t="shared" si="2"/>
        <v>Timor-Leste</v>
      </c>
      <c r="C170">
        <v>0.60599999999999998</v>
      </c>
    </row>
    <row r="171" spans="1:3" x14ac:dyDescent="0.35">
      <c r="A171" t="s">
        <v>400</v>
      </c>
      <c r="B171" t="str">
        <f t="shared" si="2"/>
        <v>Togo</v>
      </c>
      <c r="C171">
        <v>0.51500000000000001</v>
      </c>
    </row>
    <row r="172" spans="1:3" x14ac:dyDescent="0.35">
      <c r="A172" t="s">
        <v>401</v>
      </c>
      <c r="B172" t="str">
        <f t="shared" si="2"/>
        <v>Tonga</v>
      </c>
      <c r="C172">
        <v>0.72499999999999998</v>
      </c>
    </row>
    <row r="173" spans="1:3" x14ac:dyDescent="0.35">
      <c r="A173" t="s">
        <v>402</v>
      </c>
      <c r="B173" t="str">
        <f t="shared" si="2"/>
        <v>Trinidad and Tobago</v>
      </c>
      <c r="C173">
        <v>0.79600000000000004</v>
      </c>
    </row>
    <row r="174" spans="1:3" x14ac:dyDescent="0.35">
      <c r="A174" t="s">
        <v>403</v>
      </c>
      <c r="B174" t="str">
        <f t="shared" si="2"/>
        <v>Tunisia</v>
      </c>
      <c r="C174">
        <v>0.74</v>
      </c>
    </row>
    <row r="175" spans="1:3" x14ac:dyDescent="0.35">
      <c r="A175" t="s">
        <v>404</v>
      </c>
      <c r="B175" t="str">
        <f t="shared" si="2"/>
        <v>Turkey</v>
      </c>
      <c r="C175">
        <v>0.82</v>
      </c>
    </row>
    <row r="176" spans="1:3" x14ac:dyDescent="0.35">
      <c r="A176" t="s">
        <v>405</v>
      </c>
      <c r="B176" t="str">
        <f t="shared" si="2"/>
        <v>Turkmenistan</v>
      </c>
      <c r="C176">
        <v>0.71499999999999997</v>
      </c>
    </row>
    <row r="177" spans="1:3" x14ac:dyDescent="0.35">
      <c r="A177" t="s">
        <v>406</v>
      </c>
      <c r="B177" t="str">
        <f t="shared" si="2"/>
        <v>Uganda</v>
      </c>
      <c r="C177">
        <v>0.54400000000000004</v>
      </c>
    </row>
    <row r="178" spans="1:3" x14ac:dyDescent="0.35">
      <c r="A178" t="s">
        <v>407</v>
      </c>
      <c r="B178" t="str">
        <f t="shared" si="2"/>
        <v>Ukraine</v>
      </c>
      <c r="C178">
        <v>0.77900000000000003</v>
      </c>
    </row>
    <row r="179" spans="1:3" x14ac:dyDescent="0.35">
      <c r="A179" t="s">
        <v>408</v>
      </c>
      <c r="B179" t="str">
        <f t="shared" si="2"/>
        <v>United Arab Emirates</v>
      </c>
      <c r="C179">
        <v>0.89</v>
      </c>
    </row>
    <row r="180" spans="1:3" x14ac:dyDescent="0.35">
      <c r="A180" t="s">
        <v>473</v>
      </c>
      <c r="B180" t="str">
        <f t="shared" si="2"/>
        <v>The United Kingdom</v>
      </c>
      <c r="C180">
        <v>0.93200000000000005</v>
      </c>
    </row>
    <row r="181" spans="1:3" x14ac:dyDescent="0.35">
      <c r="A181" t="s">
        <v>472</v>
      </c>
      <c r="B181" t="str">
        <f t="shared" si="2"/>
        <v>United States of America</v>
      </c>
      <c r="C181">
        <v>0.92600000000000005</v>
      </c>
    </row>
    <row r="182" spans="1:3" x14ac:dyDescent="0.35">
      <c r="A182" t="s">
        <v>409</v>
      </c>
      <c r="B182" t="str">
        <f t="shared" si="2"/>
        <v>Uruguay</v>
      </c>
      <c r="C182">
        <v>0.81699999999999995</v>
      </c>
    </row>
    <row r="183" spans="1:3" x14ac:dyDescent="0.35">
      <c r="A183" t="s">
        <v>410</v>
      </c>
      <c r="B183" t="str">
        <f t="shared" si="2"/>
        <v>Uzbekistan</v>
      </c>
      <c r="C183">
        <v>0.72</v>
      </c>
    </row>
    <row r="184" spans="1:3" x14ac:dyDescent="0.35">
      <c r="A184" t="s">
        <v>411</v>
      </c>
      <c r="B184" t="str">
        <f t="shared" si="2"/>
        <v>Vanuatu</v>
      </c>
      <c r="C184">
        <v>0.60899999999999999</v>
      </c>
    </row>
    <row r="185" spans="1:3" x14ac:dyDescent="0.35">
      <c r="A185" t="s">
        <v>412</v>
      </c>
      <c r="B185" t="str">
        <f t="shared" si="2"/>
        <v>Venezuela (Bolivarian Republic of)</v>
      </c>
      <c r="C185">
        <v>0.71099999999999997</v>
      </c>
    </row>
    <row r="186" spans="1:3" x14ac:dyDescent="0.35">
      <c r="A186" t="s">
        <v>413</v>
      </c>
      <c r="B186" t="str">
        <f t="shared" si="2"/>
        <v>Viet Nam</v>
      </c>
      <c r="C186">
        <v>0.70399999999999996</v>
      </c>
    </row>
    <row r="187" spans="1:3" x14ac:dyDescent="0.35">
      <c r="A187" t="s">
        <v>453</v>
      </c>
      <c r="B187" t="str">
        <f t="shared" si="2"/>
        <v>Yemen</v>
      </c>
      <c r="C187">
        <v>0.47</v>
      </c>
    </row>
    <row r="188" spans="1:3" x14ac:dyDescent="0.35">
      <c r="A188" t="s">
        <v>414</v>
      </c>
      <c r="B188" t="str">
        <f t="shared" si="2"/>
        <v>Zambia</v>
      </c>
      <c r="C188">
        <v>0.58399999999999996</v>
      </c>
    </row>
    <row r="189" spans="1:3" x14ac:dyDescent="0.35">
      <c r="A189" t="s">
        <v>415</v>
      </c>
      <c r="B189" t="str">
        <f t="shared" si="2"/>
        <v>Zimbabwe</v>
      </c>
      <c r="C189">
        <v>0.57099999999999995</v>
      </c>
    </row>
    <row r="190" spans="1:3" x14ac:dyDescent="0.35">
      <c r="A190" t="s">
        <v>454</v>
      </c>
      <c r="B190" t="str">
        <f t="shared" si="2"/>
        <v>Human Development</v>
      </c>
      <c r="C190" t="s">
        <v>471</v>
      </c>
    </row>
    <row r="191" spans="1:3" x14ac:dyDescent="0.35">
      <c r="A191" t="s">
        <v>455</v>
      </c>
      <c r="B191" t="str">
        <f t="shared" si="2"/>
        <v>Very high human development</v>
      </c>
      <c r="C191">
        <v>0.89800000000000002</v>
      </c>
    </row>
    <row r="192" spans="1:3" x14ac:dyDescent="0.35">
      <c r="A192" t="s">
        <v>456</v>
      </c>
      <c r="B192" t="str">
        <f t="shared" si="2"/>
        <v>High human development</v>
      </c>
      <c r="C192">
        <v>0.753</v>
      </c>
    </row>
    <row r="193" spans="1:3" x14ac:dyDescent="0.35">
      <c r="A193" t="s">
        <v>457</v>
      </c>
      <c r="B193" t="str">
        <f t="shared" si="2"/>
        <v>Medium human development</v>
      </c>
      <c r="C193">
        <v>0.63100000000000001</v>
      </c>
    </row>
    <row r="194" spans="1:3" x14ac:dyDescent="0.35">
      <c r="A194" t="s">
        <v>458</v>
      </c>
      <c r="B194" t="str">
        <f t="shared" ref="B194:B206" si="3">TRIM(A194)</f>
        <v>Low human development</v>
      </c>
      <c r="C194">
        <v>0.51300000000000001</v>
      </c>
    </row>
    <row r="195" spans="1:3" x14ac:dyDescent="0.35">
      <c r="A195" t="s">
        <v>459</v>
      </c>
      <c r="B195" t="str">
        <f t="shared" si="3"/>
        <v>Developing Countries</v>
      </c>
      <c r="C195">
        <v>0.68899999999999995</v>
      </c>
    </row>
    <row r="196" spans="1:3" x14ac:dyDescent="0.35">
      <c r="A196" t="s">
        <v>460</v>
      </c>
      <c r="B196" t="str">
        <f t="shared" si="3"/>
        <v>Regions</v>
      </c>
      <c r="C196" t="s">
        <v>471</v>
      </c>
    </row>
    <row r="197" spans="1:3" x14ac:dyDescent="0.35">
      <c r="A197" t="s">
        <v>461</v>
      </c>
      <c r="B197" t="str">
        <f t="shared" si="3"/>
        <v>Arab States</v>
      </c>
      <c r="C197">
        <v>0.70499999999999996</v>
      </c>
    </row>
    <row r="198" spans="1:3" x14ac:dyDescent="0.35">
      <c r="A198" t="s">
        <v>462</v>
      </c>
      <c r="B198" t="str">
        <f t="shared" si="3"/>
        <v>East Asia and the Pacific</v>
      </c>
      <c r="C198">
        <v>0.747</v>
      </c>
    </row>
    <row r="199" spans="1:3" x14ac:dyDescent="0.35">
      <c r="A199" t="s">
        <v>463</v>
      </c>
      <c r="B199" t="str">
        <f t="shared" si="3"/>
        <v>Europe and Central Asia</v>
      </c>
      <c r="C199">
        <v>0.79100000000000004</v>
      </c>
    </row>
    <row r="200" spans="1:3" x14ac:dyDescent="0.35">
      <c r="A200" t="s">
        <v>464</v>
      </c>
      <c r="B200" t="str">
        <f t="shared" si="3"/>
        <v>Latin America and the Caribbean</v>
      </c>
      <c r="C200">
        <v>0.76600000000000001</v>
      </c>
    </row>
    <row r="201" spans="1:3" x14ac:dyDescent="0.35">
      <c r="A201" t="s">
        <v>465</v>
      </c>
      <c r="B201" t="str">
        <f t="shared" si="3"/>
        <v>South Asia</v>
      </c>
      <c r="C201">
        <v>0.64100000000000001</v>
      </c>
    </row>
    <row r="202" spans="1:3" x14ac:dyDescent="0.35">
      <c r="A202" t="s">
        <v>466</v>
      </c>
      <c r="B202" t="str">
        <f t="shared" si="3"/>
        <v>Sub-Saharan Africa</v>
      </c>
      <c r="C202">
        <v>0.54700000000000004</v>
      </c>
    </row>
    <row r="203" spans="1:3" x14ac:dyDescent="0.35">
      <c r="A203" t="s">
        <v>467</v>
      </c>
      <c r="B203" t="str">
        <f t="shared" si="3"/>
        <v>Least Developed Countries</v>
      </c>
      <c r="C203">
        <v>0.53800000000000003</v>
      </c>
    </row>
    <row r="204" spans="1:3" x14ac:dyDescent="0.35">
      <c r="A204" t="s">
        <v>468</v>
      </c>
      <c r="B204" t="str">
        <f t="shared" si="3"/>
        <v>Small Island Developing States</v>
      </c>
      <c r="C204">
        <v>0.72799999999999998</v>
      </c>
    </row>
    <row r="205" spans="1:3" x14ac:dyDescent="0.35">
      <c r="A205" t="s">
        <v>469</v>
      </c>
      <c r="B205" t="str">
        <f t="shared" si="3"/>
        <v>Organization for Economic Co-operation and Development</v>
      </c>
      <c r="C205">
        <v>0.9</v>
      </c>
    </row>
    <row r="206" spans="1:3" x14ac:dyDescent="0.35">
      <c r="A206" t="s">
        <v>470</v>
      </c>
      <c r="B206" t="str">
        <f t="shared" si="3"/>
        <v>World</v>
      </c>
      <c r="C206">
        <v>0.73699999999999999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8"/>
  <sheetViews>
    <sheetView topLeftCell="A32" workbookViewId="0">
      <selection activeCell="C41" sqref="C41:C42"/>
    </sheetView>
  </sheetViews>
  <sheetFormatPr defaultRowHeight="14.5" x14ac:dyDescent="0.35"/>
  <cols>
    <col min="1" max="1" width="28.36328125" customWidth="1"/>
    <col min="2" max="2" width="35.26953125" customWidth="1"/>
    <col min="3" max="3" width="15.453125" customWidth="1"/>
  </cols>
  <sheetData>
    <row r="1" spans="1:3" x14ac:dyDescent="0.35">
      <c r="A1" t="s">
        <v>263</v>
      </c>
      <c r="B1" t="str">
        <f>TRIM(A1)</f>
        <v>Afghanistan</v>
      </c>
      <c r="C1">
        <v>0.46899999999999997</v>
      </c>
    </row>
    <row r="2" spans="1:3" x14ac:dyDescent="0.35">
      <c r="A2" t="s">
        <v>264</v>
      </c>
      <c r="B2" t="str">
        <f t="shared" ref="B2:B65" si="0">TRIM(A2)</f>
        <v>Albania</v>
      </c>
      <c r="C2">
        <v>0.746</v>
      </c>
    </row>
    <row r="3" spans="1:3" x14ac:dyDescent="0.35">
      <c r="A3" t="s">
        <v>265</v>
      </c>
      <c r="B3" t="str">
        <f t="shared" si="0"/>
        <v>Algeria</v>
      </c>
      <c r="C3">
        <v>0.71199999999999997</v>
      </c>
    </row>
    <row r="4" spans="1:3" x14ac:dyDescent="0.35">
      <c r="A4" t="s">
        <v>416</v>
      </c>
      <c r="B4" t="str">
        <f t="shared" si="0"/>
        <v>Andorra</v>
      </c>
      <c r="C4">
        <v>0.95599999999999996</v>
      </c>
    </row>
    <row r="5" spans="1:3" x14ac:dyDescent="0.35">
      <c r="A5" t="s">
        <v>266</v>
      </c>
      <c r="B5" t="str">
        <f t="shared" si="0"/>
        <v>Angola</v>
      </c>
      <c r="C5">
        <v>0.621</v>
      </c>
    </row>
    <row r="6" spans="1:3" x14ac:dyDescent="0.35">
      <c r="A6" t="s">
        <v>267</v>
      </c>
      <c r="B6" t="str">
        <f t="shared" si="0"/>
        <v>Antigua and Barbuda</v>
      </c>
      <c r="C6">
        <v>0.80700000000000005</v>
      </c>
    </row>
    <row r="7" spans="1:3" x14ac:dyDescent="0.35">
      <c r="A7" t="s">
        <v>268</v>
      </c>
      <c r="B7" t="str">
        <f t="shared" si="0"/>
        <v>Argentina</v>
      </c>
      <c r="C7">
        <v>0.80900000000000005</v>
      </c>
    </row>
    <row r="8" spans="1:3" x14ac:dyDescent="0.35">
      <c r="A8" t="s">
        <v>269</v>
      </c>
      <c r="B8" t="str">
        <f t="shared" si="0"/>
        <v>Armenia</v>
      </c>
      <c r="C8">
        <v>0.745</v>
      </c>
    </row>
    <row r="9" spans="1:3" x14ac:dyDescent="0.35">
      <c r="A9" t="s">
        <v>417</v>
      </c>
      <c r="B9" t="str">
        <f t="shared" si="0"/>
        <v>Australia</v>
      </c>
      <c r="C9">
        <v>0.93300000000000005</v>
      </c>
    </row>
    <row r="10" spans="1:3" x14ac:dyDescent="0.35">
      <c r="A10" t="s">
        <v>418</v>
      </c>
      <c r="B10" t="str">
        <f t="shared" si="0"/>
        <v>Austria</v>
      </c>
      <c r="C10">
        <v>0.95599999999999996</v>
      </c>
    </row>
    <row r="11" spans="1:3" x14ac:dyDescent="0.35">
      <c r="A11" t="s">
        <v>270</v>
      </c>
      <c r="B11" t="str">
        <f t="shared" si="0"/>
        <v>Azerbaijan</v>
      </c>
      <c r="C11">
        <v>0.74399999999999999</v>
      </c>
    </row>
    <row r="12" spans="1:3" x14ac:dyDescent="0.35">
      <c r="A12" t="s">
        <v>420</v>
      </c>
      <c r="B12" t="str">
        <f t="shared" si="0"/>
        <v>Bahamas</v>
      </c>
      <c r="C12">
        <v>0.879</v>
      </c>
    </row>
    <row r="13" spans="1:3" x14ac:dyDescent="0.35">
      <c r="A13" t="s">
        <v>271</v>
      </c>
      <c r="B13" t="str">
        <f t="shared" si="0"/>
        <v>Bahrain</v>
      </c>
      <c r="C13">
        <v>0.91400000000000003</v>
      </c>
    </row>
    <row r="14" spans="1:3" x14ac:dyDescent="0.35">
      <c r="A14" t="s">
        <v>272</v>
      </c>
      <c r="B14" t="str">
        <f t="shared" si="0"/>
        <v>Bangladesh</v>
      </c>
      <c r="C14">
        <v>0.59</v>
      </c>
    </row>
    <row r="15" spans="1:3" x14ac:dyDescent="0.35">
      <c r="A15" t="s">
        <v>273</v>
      </c>
      <c r="B15" t="str">
        <f t="shared" si="0"/>
        <v>Barbados</v>
      </c>
      <c r="C15">
        <v>0.75600000000000001</v>
      </c>
    </row>
    <row r="16" spans="1:3" x14ac:dyDescent="0.35">
      <c r="A16" t="s">
        <v>274</v>
      </c>
      <c r="B16" t="str">
        <f t="shared" si="0"/>
        <v>Belarus</v>
      </c>
      <c r="C16">
        <v>0.78900000000000003</v>
      </c>
    </row>
    <row r="17" spans="1:3" x14ac:dyDescent="0.35">
      <c r="A17" t="s">
        <v>419</v>
      </c>
      <c r="B17" t="str">
        <f t="shared" si="0"/>
        <v>Belgium</v>
      </c>
      <c r="C17">
        <v>0.94499999999999995</v>
      </c>
    </row>
    <row r="18" spans="1:3" x14ac:dyDescent="0.35">
      <c r="A18" t="s">
        <v>421</v>
      </c>
      <c r="B18" t="str">
        <f t="shared" si="0"/>
        <v>Belize</v>
      </c>
      <c r="C18">
        <v>0.628</v>
      </c>
    </row>
    <row r="19" spans="1:3" x14ac:dyDescent="0.35">
      <c r="A19" t="s">
        <v>275</v>
      </c>
      <c r="B19" t="str">
        <f t="shared" si="0"/>
        <v>Benin</v>
      </c>
      <c r="C19">
        <v>0.52600000000000002</v>
      </c>
    </row>
    <row r="20" spans="1:3" x14ac:dyDescent="0.35">
      <c r="A20" t="s">
        <v>276</v>
      </c>
      <c r="B20" t="str">
        <f t="shared" si="0"/>
        <v>Bhutan</v>
      </c>
      <c r="C20">
        <v>0.70699999999999996</v>
      </c>
    </row>
    <row r="21" spans="1:3" x14ac:dyDescent="0.35">
      <c r="A21" t="s">
        <v>277</v>
      </c>
      <c r="B21" t="str">
        <f t="shared" si="0"/>
        <v>Bolivia (Plurinational State of)</v>
      </c>
      <c r="C21">
        <v>0.67200000000000004</v>
      </c>
    </row>
    <row r="22" spans="1:3" x14ac:dyDescent="0.35">
      <c r="A22" t="s">
        <v>278</v>
      </c>
      <c r="B22" t="str">
        <f t="shared" si="0"/>
        <v>Bosnia and Herzegovina</v>
      </c>
      <c r="C22">
        <v>0.75600000000000001</v>
      </c>
    </row>
    <row r="23" spans="1:3" x14ac:dyDescent="0.35">
      <c r="A23" t="s">
        <v>279</v>
      </c>
      <c r="B23" t="str">
        <f t="shared" si="0"/>
        <v>Botswana</v>
      </c>
      <c r="C23">
        <v>0.77100000000000002</v>
      </c>
    </row>
    <row r="24" spans="1:3" x14ac:dyDescent="0.35">
      <c r="A24" t="s">
        <v>280</v>
      </c>
      <c r="B24" t="str">
        <f t="shared" si="0"/>
        <v>Brazil</v>
      </c>
      <c r="C24">
        <v>0.749</v>
      </c>
    </row>
    <row r="25" spans="1:3" x14ac:dyDescent="0.35">
      <c r="A25" t="s">
        <v>281</v>
      </c>
      <c r="B25" t="str">
        <f t="shared" si="0"/>
        <v>Brunei Darussalam</v>
      </c>
      <c r="C25">
        <v>0.97599999999999998</v>
      </c>
    </row>
    <row r="26" spans="1:3" x14ac:dyDescent="0.35">
      <c r="A26" t="s">
        <v>282</v>
      </c>
      <c r="B26" t="str">
        <f t="shared" si="0"/>
        <v>Bulgaria</v>
      </c>
      <c r="C26">
        <v>0.82399999999999995</v>
      </c>
    </row>
    <row r="27" spans="1:3" x14ac:dyDescent="0.35">
      <c r="A27" t="s">
        <v>283</v>
      </c>
      <c r="B27" t="str">
        <f t="shared" si="0"/>
        <v>Burkina Faso</v>
      </c>
      <c r="C27">
        <v>0.46200000000000002</v>
      </c>
    </row>
    <row r="28" spans="1:3" x14ac:dyDescent="0.35">
      <c r="A28" t="s">
        <v>284</v>
      </c>
      <c r="B28" t="str">
        <f t="shared" si="0"/>
        <v>Burundi</v>
      </c>
      <c r="C28">
        <v>0.30499999999999999</v>
      </c>
    </row>
    <row r="29" spans="1:3" x14ac:dyDescent="0.35">
      <c r="A29" t="s">
        <v>285</v>
      </c>
      <c r="B29" t="str">
        <f t="shared" si="0"/>
        <v>Cabo Verde</v>
      </c>
      <c r="C29">
        <v>0.64200000000000002</v>
      </c>
    </row>
    <row r="30" spans="1:3" x14ac:dyDescent="0.35">
      <c r="A30" t="s">
        <v>286</v>
      </c>
      <c r="B30" t="str">
        <f t="shared" si="0"/>
        <v>Cambodia</v>
      </c>
      <c r="C30">
        <v>0.56599999999999995</v>
      </c>
    </row>
    <row r="31" spans="1:3" x14ac:dyDescent="0.35">
      <c r="A31" t="s">
        <v>287</v>
      </c>
      <c r="B31" t="str">
        <f t="shared" si="0"/>
        <v>Cameroon</v>
      </c>
      <c r="C31">
        <v>0.54100000000000004</v>
      </c>
    </row>
    <row r="32" spans="1:3" x14ac:dyDescent="0.35">
      <c r="A32" t="s">
        <v>422</v>
      </c>
      <c r="B32" t="str">
        <f t="shared" si="0"/>
        <v>Canada</v>
      </c>
      <c r="C32">
        <v>0.93400000000000005</v>
      </c>
    </row>
    <row r="33" spans="1:3" x14ac:dyDescent="0.35">
      <c r="A33" t="s">
        <v>288</v>
      </c>
      <c r="B33" t="str">
        <f t="shared" si="0"/>
        <v>Central African Republic</v>
      </c>
      <c r="C33">
        <v>0.34699999999999998</v>
      </c>
    </row>
    <row r="34" spans="1:3" x14ac:dyDescent="0.35">
      <c r="A34" t="s">
        <v>289</v>
      </c>
      <c r="B34" t="str">
        <f t="shared" si="0"/>
        <v>Chad</v>
      </c>
      <c r="C34">
        <v>0.41499999999999998</v>
      </c>
    </row>
    <row r="35" spans="1:3" x14ac:dyDescent="0.35">
      <c r="A35" t="s">
        <v>290</v>
      </c>
      <c r="B35" t="str">
        <f t="shared" si="0"/>
        <v>Chile</v>
      </c>
      <c r="C35">
        <v>0.82299999999999995</v>
      </c>
    </row>
    <row r="36" spans="1:3" x14ac:dyDescent="0.35">
      <c r="A36" t="s">
        <v>291</v>
      </c>
      <c r="B36" t="str">
        <f t="shared" si="0"/>
        <v>China</v>
      </c>
      <c r="C36">
        <v>0.76700000000000002</v>
      </c>
    </row>
    <row r="37" spans="1:3" x14ac:dyDescent="0.35">
      <c r="A37" t="s">
        <v>292</v>
      </c>
      <c r="B37" t="str">
        <f t="shared" si="0"/>
        <v>Colombia</v>
      </c>
      <c r="C37">
        <v>0.749</v>
      </c>
    </row>
    <row r="38" spans="1:3" x14ac:dyDescent="0.35">
      <c r="A38" t="s">
        <v>293</v>
      </c>
      <c r="B38" t="str">
        <f t="shared" si="0"/>
        <v>Comoros</v>
      </c>
      <c r="C38">
        <v>0.51900000000000002</v>
      </c>
    </row>
    <row r="39" spans="1:3" x14ac:dyDescent="0.35">
      <c r="A39" t="s">
        <v>294</v>
      </c>
      <c r="B39" t="str">
        <f t="shared" si="0"/>
        <v>Congo</v>
      </c>
      <c r="C39">
        <v>0.50800000000000001</v>
      </c>
    </row>
    <row r="40" spans="1:3" x14ac:dyDescent="0.35">
      <c r="A40" t="s">
        <v>295</v>
      </c>
      <c r="B40" t="str">
        <f t="shared" si="0"/>
        <v>Congo (Democratic Republic of the)</v>
      </c>
      <c r="C40">
        <v>0.35699999999999998</v>
      </c>
    </row>
    <row r="41" spans="1:3" x14ac:dyDescent="0.35">
      <c r="A41" t="s">
        <v>296</v>
      </c>
      <c r="B41" t="str">
        <f t="shared" si="0"/>
        <v>Costa Rica</v>
      </c>
      <c r="C41">
        <v>0.78800000000000003</v>
      </c>
    </row>
    <row r="42" spans="1:3" x14ac:dyDescent="0.35">
      <c r="A42" t="s">
        <v>297</v>
      </c>
      <c r="B42" t="str">
        <f t="shared" si="0"/>
        <v>Croatia</v>
      </c>
      <c r="C42">
        <v>0.85199999999999998</v>
      </c>
    </row>
    <row r="43" spans="1:3" x14ac:dyDescent="0.35">
      <c r="A43" t="s">
        <v>298</v>
      </c>
      <c r="B43" t="str">
        <f t="shared" si="0"/>
        <v>Cuba</v>
      </c>
      <c r="C43">
        <v>0.67300000000000004</v>
      </c>
    </row>
    <row r="44" spans="1:3" x14ac:dyDescent="0.35">
      <c r="A44" t="s">
        <v>299</v>
      </c>
      <c r="B44" t="str">
        <f t="shared" si="0"/>
        <v>Cyprus</v>
      </c>
      <c r="C44">
        <v>0.89800000000000002</v>
      </c>
    </row>
    <row r="45" spans="1:3" x14ac:dyDescent="0.35">
      <c r="A45" t="s">
        <v>424</v>
      </c>
      <c r="B45" t="str">
        <f t="shared" si="0"/>
        <v>Czechia</v>
      </c>
      <c r="C45">
        <v>0.89800000000000002</v>
      </c>
    </row>
    <row r="46" spans="1:3" x14ac:dyDescent="0.35">
      <c r="A46" t="s">
        <v>300</v>
      </c>
      <c r="B46" t="str">
        <f t="shared" si="0"/>
        <v>Côte d'Ivoire</v>
      </c>
      <c r="C46">
        <v>0.59299999999999997</v>
      </c>
    </row>
    <row r="47" spans="1:3" x14ac:dyDescent="0.35">
      <c r="A47" t="s">
        <v>428</v>
      </c>
      <c r="B47" t="str">
        <f t="shared" si="0"/>
        <v>Denmark</v>
      </c>
      <c r="C47">
        <v>0.96299999999999997</v>
      </c>
    </row>
    <row r="48" spans="1:3" x14ac:dyDescent="0.35">
      <c r="A48" t="s">
        <v>426</v>
      </c>
      <c r="B48" t="str">
        <f t="shared" si="0"/>
        <v>Djibouti</v>
      </c>
      <c r="C48">
        <v>0.61</v>
      </c>
    </row>
    <row r="49" spans="1:3" x14ac:dyDescent="0.35">
      <c r="A49" t="s">
        <v>427</v>
      </c>
      <c r="B49" t="str">
        <f t="shared" si="0"/>
        <v>Dominica</v>
      </c>
      <c r="C49">
        <v>0.72199999999999998</v>
      </c>
    </row>
    <row r="50" spans="1:3" x14ac:dyDescent="0.35">
      <c r="A50" t="s">
        <v>301</v>
      </c>
      <c r="B50" t="str">
        <f t="shared" si="0"/>
        <v>Dominican Republic</v>
      </c>
      <c r="C50">
        <v>0.78100000000000003</v>
      </c>
    </row>
    <row r="51" spans="1:3" x14ac:dyDescent="0.35">
      <c r="A51" t="s">
        <v>302</v>
      </c>
      <c r="B51" t="str">
        <f t="shared" si="0"/>
        <v>Ecuador</v>
      </c>
      <c r="C51">
        <v>0.71099999999999997</v>
      </c>
    </row>
    <row r="52" spans="1:3" x14ac:dyDescent="0.35">
      <c r="A52" t="s">
        <v>303</v>
      </c>
      <c r="B52" t="str">
        <f t="shared" si="0"/>
        <v>Egypt</v>
      </c>
      <c r="C52">
        <v>0.71599999999999997</v>
      </c>
    </row>
    <row r="53" spans="1:3" x14ac:dyDescent="0.35">
      <c r="A53" t="s">
        <v>304</v>
      </c>
      <c r="B53" t="str">
        <f t="shared" si="0"/>
        <v>El Salvador</v>
      </c>
      <c r="C53">
        <v>0.66900000000000004</v>
      </c>
    </row>
    <row r="54" spans="1:3" x14ac:dyDescent="0.35">
      <c r="A54" t="s">
        <v>305</v>
      </c>
      <c r="B54" t="str">
        <f t="shared" si="0"/>
        <v>Equatorial Guinea</v>
      </c>
      <c r="C54">
        <v>0.746</v>
      </c>
    </row>
    <row r="55" spans="1:3" x14ac:dyDescent="0.35">
      <c r="A55" t="s">
        <v>306</v>
      </c>
      <c r="B55" t="str">
        <f t="shared" si="0"/>
        <v>Eritrea</v>
      </c>
      <c r="C55">
        <v>0.503</v>
      </c>
    </row>
    <row r="56" spans="1:3" x14ac:dyDescent="0.35">
      <c r="A56" t="s">
        <v>307</v>
      </c>
      <c r="B56" t="str">
        <f t="shared" si="0"/>
        <v>Estonia</v>
      </c>
      <c r="C56">
        <v>0.88900000000000001</v>
      </c>
    </row>
    <row r="57" spans="1:3" x14ac:dyDescent="0.35">
      <c r="A57" t="s">
        <v>308</v>
      </c>
      <c r="B57" t="str">
        <f t="shared" si="0"/>
        <v>Eswatini (Kingdom of)</v>
      </c>
      <c r="C57">
        <v>0.66</v>
      </c>
    </row>
    <row r="58" spans="1:3" x14ac:dyDescent="0.35">
      <c r="A58" t="s">
        <v>309</v>
      </c>
      <c r="B58" t="str">
        <f t="shared" si="0"/>
        <v>Ethiopia</v>
      </c>
      <c r="C58">
        <v>0.46700000000000003</v>
      </c>
    </row>
    <row r="59" spans="1:3" x14ac:dyDescent="0.35">
      <c r="A59" t="s">
        <v>310</v>
      </c>
      <c r="B59" t="str">
        <f t="shared" si="0"/>
        <v>Fiji</v>
      </c>
      <c r="C59">
        <v>0.73499999999999999</v>
      </c>
    </row>
    <row r="60" spans="1:3" x14ac:dyDescent="0.35">
      <c r="A60" t="s">
        <v>429</v>
      </c>
      <c r="B60" t="str">
        <f t="shared" si="0"/>
        <v>Finland</v>
      </c>
      <c r="C60">
        <v>0.93400000000000005</v>
      </c>
    </row>
    <row r="61" spans="1:3" x14ac:dyDescent="0.35">
      <c r="A61" t="s">
        <v>430</v>
      </c>
      <c r="B61" t="str">
        <f t="shared" si="0"/>
        <v>France</v>
      </c>
      <c r="C61">
        <v>0.93</v>
      </c>
    </row>
    <row r="62" spans="1:3" x14ac:dyDescent="0.35">
      <c r="A62" t="s">
        <v>311</v>
      </c>
      <c r="B62" t="str">
        <f t="shared" si="0"/>
        <v>Gabon</v>
      </c>
      <c r="C62">
        <v>0.746</v>
      </c>
    </row>
    <row r="63" spans="1:3" x14ac:dyDescent="0.35">
      <c r="A63" t="s">
        <v>312</v>
      </c>
      <c r="B63" t="str">
        <f t="shared" si="0"/>
        <v>Gambia</v>
      </c>
      <c r="C63">
        <v>0.46500000000000002</v>
      </c>
    </row>
    <row r="64" spans="1:3" x14ac:dyDescent="0.35">
      <c r="A64" t="s">
        <v>313</v>
      </c>
      <c r="B64" t="str">
        <f t="shared" si="0"/>
        <v>Georgia</v>
      </c>
      <c r="C64">
        <v>0.751</v>
      </c>
    </row>
    <row r="65" spans="1:3" x14ac:dyDescent="0.35">
      <c r="A65" t="s">
        <v>425</v>
      </c>
      <c r="B65" t="str">
        <f t="shared" si="0"/>
        <v>Germany</v>
      </c>
      <c r="C65">
        <v>0.95399999999999996</v>
      </c>
    </row>
    <row r="66" spans="1:3" x14ac:dyDescent="0.35">
      <c r="A66" t="s">
        <v>314</v>
      </c>
      <c r="B66" t="str">
        <f t="shared" ref="B66:B129" si="1">TRIM(A66)</f>
        <v>Ghana</v>
      </c>
      <c r="C66">
        <v>0.59899999999999998</v>
      </c>
    </row>
    <row r="67" spans="1:3" x14ac:dyDescent="0.35">
      <c r="A67" t="s">
        <v>315</v>
      </c>
      <c r="B67" t="str">
        <f t="shared" si="1"/>
        <v>Greece</v>
      </c>
      <c r="C67">
        <v>0.86199999999999999</v>
      </c>
    </row>
    <row r="68" spans="1:3" x14ac:dyDescent="0.35">
      <c r="A68" t="s">
        <v>316</v>
      </c>
      <c r="B68" t="str">
        <f t="shared" si="1"/>
        <v>Grenada</v>
      </c>
      <c r="C68">
        <v>0.76300000000000001</v>
      </c>
    </row>
    <row r="69" spans="1:3" x14ac:dyDescent="0.35">
      <c r="A69" t="s">
        <v>317</v>
      </c>
      <c r="B69" t="str">
        <f t="shared" si="1"/>
        <v>Guatemala</v>
      </c>
      <c r="C69">
        <v>0.67100000000000004</v>
      </c>
    </row>
    <row r="70" spans="1:3" x14ac:dyDescent="0.35">
      <c r="A70" t="s">
        <v>318</v>
      </c>
      <c r="B70" t="str">
        <f t="shared" si="1"/>
        <v>Guinea</v>
      </c>
      <c r="C70">
        <v>0.48</v>
      </c>
    </row>
    <row r="71" spans="1:3" x14ac:dyDescent="0.35">
      <c r="A71" t="s">
        <v>319</v>
      </c>
      <c r="B71" t="str">
        <f t="shared" si="1"/>
        <v>Guinea-Bissau</v>
      </c>
      <c r="C71">
        <v>0.45200000000000001</v>
      </c>
    </row>
    <row r="72" spans="1:3" x14ac:dyDescent="0.35">
      <c r="A72" t="s">
        <v>320</v>
      </c>
      <c r="B72" t="str">
        <f t="shared" si="1"/>
        <v>Guyana</v>
      </c>
      <c r="C72">
        <v>0.68700000000000006</v>
      </c>
    </row>
    <row r="73" spans="1:3" x14ac:dyDescent="0.35">
      <c r="A73" t="s">
        <v>321</v>
      </c>
      <c r="B73" t="str">
        <f t="shared" si="1"/>
        <v>Haiti</v>
      </c>
      <c r="C73">
        <v>0.42899999999999999</v>
      </c>
    </row>
    <row r="74" spans="1:3" x14ac:dyDescent="0.35">
      <c r="A74" t="s">
        <v>322</v>
      </c>
      <c r="B74" t="str">
        <f t="shared" si="1"/>
        <v>Honduras</v>
      </c>
      <c r="C74">
        <v>0.6</v>
      </c>
    </row>
    <row r="75" spans="1:3" x14ac:dyDescent="0.35">
      <c r="A75" t="s">
        <v>433</v>
      </c>
      <c r="B75" t="str">
        <f t="shared" si="1"/>
        <v>Hong Kong, China (SAR)</v>
      </c>
      <c r="C75">
        <v>0.97399999999999998</v>
      </c>
    </row>
    <row r="76" spans="1:3" x14ac:dyDescent="0.35">
      <c r="A76" t="s">
        <v>323</v>
      </c>
      <c r="B76" t="str">
        <f t="shared" si="1"/>
        <v>Hungary</v>
      </c>
      <c r="C76">
        <v>0.86799999999999999</v>
      </c>
    </row>
    <row r="77" spans="1:3" x14ac:dyDescent="0.35">
      <c r="A77" t="s">
        <v>435</v>
      </c>
      <c r="B77" t="str">
        <f t="shared" si="1"/>
        <v>Iceland</v>
      </c>
      <c r="C77">
        <v>0.95199999999999996</v>
      </c>
    </row>
    <row r="78" spans="1:3" x14ac:dyDescent="0.35">
      <c r="A78" t="s">
        <v>324</v>
      </c>
      <c r="B78" t="str">
        <f t="shared" si="1"/>
        <v>India</v>
      </c>
      <c r="C78">
        <v>0.63500000000000001</v>
      </c>
    </row>
    <row r="79" spans="1:3" x14ac:dyDescent="0.35">
      <c r="A79" t="s">
        <v>325</v>
      </c>
      <c r="B79" t="str">
        <f t="shared" si="1"/>
        <v>Indonesia</v>
      </c>
      <c r="C79">
        <v>0.71599999999999997</v>
      </c>
    </row>
    <row r="80" spans="1:3" x14ac:dyDescent="0.35">
      <c r="A80" t="s">
        <v>326</v>
      </c>
      <c r="B80" t="str">
        <f t="shared" si="1"/>
        <v>Iran (Islamic Republic of)</v>
      </c>
      <c r="C80">
        <v>0.72899999999999998</v>
      </c>
    </row>
    <row r="81" spans="1:3" x14ac:dyDescent="0.35">
      <c r="A81" t="s">
        <v>327</v>
      </c>
      <c r="B81" t="str">
        <f t="shared" si="1"/>
        <v>Iraq</v>
      </c>
      <c r="C81">
        <v>0.70699999999999996</v>
      </c>
    </row>
    <row r="82" spans="1:3" x14ac:dyDescent="0.35">
      <c r="A82" t="s">
        <v>434</v>
      </c>
      <c r="B82" t="str">
        <f t="shared" si="1"/>
        <v>Ireland</v>
      </c>
      <c r="C82">
        <v>0.98599999999999999</v>
      </c>
    </row>
    <row r="83" spans="1:3" x14ac:dyDescent="0.35">
      <c r="A83" t="s">
        <v>436</v>
      </c>
      <c r="B83" t="str">
        <f t="shared" si="1"/>
        <v>Israel</v>
      </c>
      <c r="C83">
        <v>0.90600000000000003</v>
      </c>
    </row>
    <row r="84" spans="1:3" x14ac:dyDescent="0.35">
      <c r="A84" t="s">
        <v>328</v>
      </c>
      <c r="B84" t="str">
        <f t="shared" si="1"/>
        <v>Italy</v>
      </c>
      <c r="C84">
        <v>0.91500000000000004</v>
      </c>
    </row>
    <row r="85" spans="1:3" x14ac:dyDescent="0.35">
      <c r="A85" t="s">
        <v>329</v>
      </c>
      <c r="B85" t="str">
        <f t="shared" si="1"/>
        <v>Jamaica</v>
      </c>
      <c r="C85">
        <v>0.68500000000000005</v>
      </c>
    </row>
    <row r="86" spans="1:3" x14ac:dyDescent="0.35">
      <c r="A86" t="s">
        <v>437</v>
      </c>
      <c r="B86" t="str">
        <f t="shared" si="1"/>
        <v>Japan</v>
      </c>
      <c r="C86">
        <v>0.91600000000000004</v>
      </c>
    </row>
    <row r="87" spans="1:3" x14ac:dyDescent="0.35">
      <c r="A87" t="s">
        <v>330</v>
      </c>
      <c r="B87" t="str">
        <f t="shared" si="1"/>
        <v>Jordan</v>
      </c>
      <c r="C87">
        <v>0.69299999999999995</v>
      </c>
    </row>
    <row r="88" spans="1:3" x14ac:dyDescent="0.35">
      <c r="A88" t="s">
        <v>331</v>
      </c>
      <c r="B88" t="str">
        <f t="shared" si="1"/>
        <v>Kazakhstan</v>
      </c>
      <c r="C88">
        <v>0.82099999999999995</v>
      </c>
    </row>
    <row r="89" spans="1:3" x14ac:dyDescent="0.35">
      <c r="A89" t="s">
        <v>332</v>
      </c>
      <c r="B89" t="str">
        <f t="shared" si="1"/>
        <v>Kenya</v>
      </c>
      <c r="C89">
        <v>0.56599999999999995</v>
      </c>
    </row>
    <row r="90" spans="1:3" x14ac:dyDescent="0.35">
      <c r="A90" t="s">
        <v>438</v>
      </c>
      <c r="B90" t="str">
        <f t="shared" si="1"/>
        <v>Kiribati</v>
      </c>
      <c r="C90">
        <v>0.56699999999999995</v>
      </c>
    </row>
    <row r="91" spans="1:3" x14ac:dyDescent="0.35">
      <c r="A91" t="s">
        <v>440</v>
      </c>
      <c r="B91" t="str">
        <f t="shared" si="1"/>
        <v>Korea (Republic of)</v>
      </c>
      <c r="C91">
        <v>0.91600000000000004</v>
      </c>
    </row>
    <row r="92" spans="1:3" x14ac:dyDescent="0.35">
      <c r="A92" t="s">
        <v>334</v>
      </c>
      <c r="B92" t="str">
        <f t="shared" si="1"/>
        <v>Kuwait</v>
      </c>
      <c r="C92">
        <v>0.96299999999999997</v>
      </c>
    </row>
    <row r="93" spans="1:3" x14ac:dyDescent="0.35">
      <c r="A93" t="s">
        <v>335</v>
      </c>
      <c r="B93" t="str">
        <f t="shared" si="1"/>
        <v>Kyrgyzstan</v>
      </c>
      <c r="C93">
        <v>0.58699999999999997</v>
      </c>
    </row>
    <row r="94" spans="1:3" x14ac:dyDescent="0.35">
      <c r="A94" t="s">
        <v>336</v>
      </c>
      <c r="B94" t="str">
        <f t="shared" si="1"/>
        <v>Lao People's Democratic Republic</v>
      </c>
      <c r="C94">
        <v>0.65</v>
      </c>
    </row>
    <row r="95" spans="1:3" x14ac:dyDescent="0.35">
      <c r="A95" t="s">
        <v>337</v>
      </c>
      <c r="B95" t="str">
        <f t="shared" si="1"/>
        <v>Latvia</v>
      </c>
      <c r="C95">
        <v>0.86299999999999999</v>
      </c>
    </row>
    <row r="96" spans="1:3" x14ac:dyDescent="0.35">
      <c r="A96" t="s">
        <v>338</v>
      </c>
      <c r="B96" t="str">
        <f t="shared" si="1"/>
        <v>Lebanon</v>
      </c>
      <c r="C96">
        <v>0.753</v>
      </c>
    </row>
    <row r="97" spans="1:3" x14ac:dyDescent="0.35">
      <c r="A97" t="s">
        <v>339</v>
      </c>
      <c r="B97" t="str">
        <f t="shared" si="1"/>
        <v>Lesotho</v>
      </c>
      <c r="C97">
        <v>0.52100000000000002</v>
      </c>
    </row>
    <row r="98" spans="1:3" x14ac:dyDescent="0.35">
      <c r="A98" t="s">
        <v>340</v>
      </c>
      <c r="B98" t="str">
        <f t="shared" si="1"/>
        <v>Liberia</v>
      </c>
      <c r="C98">
        <v>0.38300000000000001</v>
      </c>
    </row>
    <row r="99" spans="1:3" x14ac:dyDescent="0.35">
      <c r="A99" t="s">
        <v>441</v>
      </c>
      <c r="B99" t="str">
        <f t="shared" si="1"/>
        <v>Libya</v>
      </c>
      <c r="C99">
        <v>0.76400000000000001</v>
      </c>
    </row>
    <row r="100" spans="1:3" x14ac:dyDescent="0.35">
      <c r="A100" t="s">
        <v>443</v>
      </c>
      <c r="B100" t="str">
        <f t="shared" si="1"/>
        <v>Liechtenstein</v>
      </c>
      <c r="C100">
        <v>1</v>
      </c>
    </row>
    <row r="101" spans="1:3" x14ac:dyDescent="0.35">
      <c r="A101" t="s">
        <v>341</v>
      </c>
      <c r="B101" t="str">
        <f t="shared" si="1"/>
        <v>Lithuania</v>
      </c>
      <c r="C101">
        <v>0.88800000000000001</v>
      </c>
    </row>
    <row r="102" spans="1:3" x14ac:dyDescent="0.35">
      <c r="A102" t="s">
        <v>444</v>
      </c>
      <c r="B102" t="str">
        <f t="shared" si="1"/>
        <v>Luxembourg</v>
      </c>
      <c r="C102">
        <v>0.995</v>
      </c>
    </row>
    <row r="103" spans="1:3" x14ac:dyDescent="0.35">
      <c r="A103" t="s">
        <v>342</v>
      </c>
      <c r="B103" t="str">
        <f t="shared" si="1"/>
        <v>Madagascar</v>
      </c>
      <c r="C103">
        <v>0.41799999999999998</v>
      </c>
    </row>
    <row r="104" spans="1:3" x14ac:dyDescent="0.35">
      <c r="A104" t="s">
        <v>343</v>
      </c>
      <c r="B104" t="str">
        <f t="shared" si="1"/>
        <v>Malawi</v>
      </c>
      <c r="C104">
        <v>0.35299999999999998</v>
      </c>
    </row>
    <row r="105" spans="1:3" x14ac:dyDescent="0.35">
      <c r="A105" t="s">
        <v>344</v>
      </c>
      <c r="B105" t="str">
        <f t="shared" si="1"/>
        <v>Malaysia</v>
      </c>
      <c r="C105">
        <v>0.84899999999999998</v>
      </c>
    </row>
    <row r="106" spans="1:3" x14ac:dyDescent="0.35">
      <c r="A106" t="s">
        <v>345</v>
      </c>
      <c r="B106" t="str">
        <f t="shared" si="1"/>
        <v>Maldives</v>
      </c>
      <c r="C106">
        <v>0.77900000000000003</v>
      </c>
    </row>
    <row r="107" spans="1:3" x14ac:dyDescent="0.35">
      <c r="A107" t="s">
        <v>346</v>
      </c>
      <c r="B107" t="str">
        <f t="shared" si="1"/>
        <v>Mali</v>
      </c>
      <c r="C107">
        <v>0.47199999999999998</v>
      </c>
    </row>
    <row r="108" spans="1:3" x14ac:dyDescent="0.35">
      <c r="A108" t="s">
        <v>347</v>
      </c>
      <c r="B108" t="str">
        <f t="shared" si="1"/>
        <v>Malta</v>
      </c>
      <c r="C108">
        <v>0.90300000000000002</v>
      </c>
    </row>
    <row r="109" spans="1:3" x14ac:dyDescent="0.35">
      <c r="A109" t="s">
        <v>348</v>
      </c>
      <c r="B109" t="str">
        <f t="shared" si="1"/>
        <v>Marshall Islands</v>
      </c>
      <c r="C109">
        <v>0.59199999999999997</v>
      </c>
    </row>
    <row r="110" spans="1:3" x14ac:dyDescent="0.35">
      <c r="A110" t="s">
        <v>349</v>
      </c>
      <c r="B110" t="str">
        <f t="shared" si="1"/>
        <v>Mauritania</v>
      </c>
      <c r="C110">
        <v>0.59499999999999997</v>
      </c>
    </row>
    <row r="111" spans="1:3" x14ac:dyDescent="0.35">
      <c r="A111" t="s">
        <v>350</v>
      </c>
      <c r="B111" t="str">
        <f t="shared" si="1"/>
        <v>Mauritius</v>
      </c>
      <c r="C111">
        <v>0.83599999999999997</v>
      </c>
    </row>
    <row r="112" spans="1:3" x14ac:dyDescent="0.35">
      <c r="A112" t="s">
        <v>351</v>
      </c>
      <c r="B112" t="str">
        <f t="shared" si="1"/>
        <v>Mexico</v>
      </c>
      <c r="C112">
        <v>0.79400000000000004</v>
      </c>
    </row>
    <row r="113" spans="1:3" x14ac:dyDescent="0.35">
      <c r="A113" t="s">
        <v>431</v>
      </c>
      <c r="B113" t="str">
        <f t="shared" si="1"/>
        <v>Micronesia (Federated States of)</v>
      </c>
      <c r="C113">
        <v>0.55700000000000005</v>
      </c>
    </row>
    <row r="114" spans="1:3" x14ac:dyDescent="0.35">
      <c r="A114" t="s">
        <v>352</v>
      </c>
      <c r="B114" t="str">
        <f t="shared" si="1"/>
        <v>Moldova (Republic of)</v>
      </c>
      <c r="C114">
        <v>0.74299999999999999</v>
      </c>
    </row>
    <row r="115" spans="1:3" x14ac:dyDescent="0.35">
      <c r="A115" t="s">
        <v>353</v>
      </c>
      <c r="B115" t="str">
        <f t="shared" si="1"/>
        <v>Mongolia</v>
      </c>
      <c r="C115">
        <v>0.70799999999999996</v>
      </c>
    </row>
    <row r="116" spans="1:3" x14ac:dyDescent="0.35">
      <c r="A116" t="s">
        <v>354</v>
      </c>
      <c r="B116" t="str">
        <f t="shared" si="1"/>
        <v>Montenegro</v>
      </c>
      <c r="C116">
        <v>0.81100000000000005</v>
      </c>
    </row>
    <row r="117" spans="1:3" x14ac:dyDescent="0.35">
      <c r="A117" t="s">
        <v>355</v>
      </c>
      <c r="B117" t="str">
        <f t="shared" si="1"/>
        <v>Morocco</v>
      </c>
      <c r="C117">
        <v>0.65</v>
      </c>
    </row>
    <row r="118" spans="1:3" x14ac:dyDescent="0.35">
      <c r="A118" t="s">
        <v>356</v>
      </c>
      <c r="B118" t="str">
        <f t="shared" si="1"/>
        <v>Mozambique</v>
      </c>
      <c r="C118">
        <v>0.38200000000000001</v>
      </c>
    </row>
    <row r="119" spans="1:3" x14ac:dyDescent="0.35">
      <c r="A119" t="s">
        <v>357</v>
      </c>
      <c r="B119" t="str">
        <f t="shared" si="1"/>
        <v>Myanmar</v>
      </c>
      <c r="C119">
        <v>0.59</v>
      </c>
    </row>
    <row r="120" spans="1:3" x14ac:dyDescent="0.35">
      <c r="A120" t="s">
        <v>358</v>
      </c>
      <c r="B120" t="str">
        <f t="shared" si="1"/>
        <v>Namibia</v>
      </c>
      <c r="C120">
        <v>0.68600000000000005</v>
      </c>
    </row>
    <row r="121" spans="1:3" x14ac:dyDescent="0.35">
      <c r="A121" t="s">
        <v>478</v>
      </c>
      <c r="B121" t="str">
        <f t="shared" si="1"/>
        <v>Nauru</v>
      </c>
      <c r="C121">
        <v>0.76900000000000002</v>
      </c>
    </row>
    <row r="122" spans="1:3" x14ac:dyDescent="0.35">
      <c r="A122" t="s">
        <v>359</v>
      </c>
      <c r="B122" t="str">
        <f t="shared" si="1"/>
        <v>Nepal</v>
      </c>
      <c r="C122">
        <v>0.53500000000000003</v>
      </c>
    </row>
    <row r="123" spans="1:3" x14ac:dyDescent="0.35">
      <c r="A123" t="s">
        <v>445</v>
      </c>
      <c r="B123" t="str">
        <f t="shared" si="1"/>
        <v>Netherlands</v>
      </c>
      <c r="C123">
        <v>0.96</v>
      </c>
    </row>
    <row r="124" spans="1:3" x14ac:dyDescent="0.35">
      <c r="A124" t="s">
        <v>447</v>
      </c>
      <c r="B124" t="str">
        <f t="shared" si="1"/>
        <v>New Zealand</v>
      </c>
      <c r="C124">
        <v>0.90800000000000003</v>
      </c>
    </row>
    <row r="125" spans="1:3" x14ac:dyDescent="0.35">
      <c r="A125" t="s">
        <v>360</v>
      </c>
      <c r="B125" t="str">
        <f t="shared" si="1"/>
        <v>Nicaragua</v>
      </c>
      <c r="C125">
        <v>0.59899999999999998</v>
      </c>
    </row>
    <row r="126" spans="1:3" x14ac:dyDescent="0.35">
      <c r="A126" t="s">
        <v>361</v>
      </c>
      <c r="B126" t="str">
        <f t="shared" si="1"/>
        <v>Niger</v>
      </c>
      <c r="C126">
        <v>0.375</v>
      </c>
    </row>
    <row r="127" spans="1:3" x14ac:dyDescent="0.35">
      <c r="A127" t="s">
        <v>362</v>
      </c>
      <c r="B127" t="str">
        <f t="shared" si="1"/>
        <v>Nigeria</v>
      </c>
      <c r="C127">
        <v>0.58799999999999997</v>
      </c>
    </row>
    <row r="128" spans="1:3" x14ac:dyDescent="0.35">
      <c r="A128" t="s">
        <v>363</v>
      </c>
      <c r="B128" t="str">
        <f t="shared" si="1"/>
        <v>North Macedonia</v>
      </c>
      <c r="C128">
        <v>0.76500000000000001</v>
      </c>
    </row>
    <row r="129" spans="1:3" x14ac:dyDescent="0.35">
      <c r="A129" t="s">
        <v>446</v>
      </c>
      <c r="B129" t="str">
        <f t="shared" si="1"/>
        <v>Norway</v>
      </c>
      <c r="C129">
        <v>0.98199999999999998</v>
      </c>
    </row>
    <row r="130" spans="1:3" x14ac:dyDescent="0.35">
      <c r="A130" t="s">
        <v>364</v>
      </c>
      <c r="B130" t="str">
        <f t="shared" ref="B130:B193" si="2">TRIM(A130)</f>
        <v>Oman</v>
      </c>
      <c r="C130">
        <v>0.84</v>
      </c>
    </row>
    <row r="131" spans="1:3" x14ac:dyDescent="0.35">
      <c r="A131" t="s">
        <v>365</v>
      </c>
      <c r="B131" t="str">
        <f t="shared" si="2"/>
        <v>Pakistan</v>
      </c>
      <c r="C131">
        <v>0.59099999999999997</v>
      </c>
    </row>
    <row r="132" spans="1:3" x14ac:dyDescent="0.35">
      <c r="A132" t="s">
        <v>366</v>
      </c>
      <c r="B132" t="str">
        <f t="shared" si="2"/>
        <v>Palau</v>
      </c>
      <c r="C132">
        <v>0.79500000000000004</v>
      </c>
    </row>
    <row r="133" spans="1:3" x14ac:dyDescent="0.35">
      <c r="A133" t="s">
        <v>367</v>
      </c>
      <c r="B133" t="str">
        <f t="shared" si="2"/>
        <v>Palestine, State of</v>
      </c>
      <c r="C133">
        <v>0.629</v>
      </c>
    </row>
    <row r="134" spans="1:3" x14ac:dyDescent="0.35">
      <c r="A134" t="s">
        <v>368</v>
      </c>
      <c r="B134" t="str">
        <f t="shared" si="2"/>
        <v>Panama</v>
      </c>
      <c r="C134">
        <v>0.85899999999999999</v>
      </c>
    </row>
    <row r="135" spans="1:3" x14ac:dyDescent="0.35">
      <c r="A135" t="s">
        <v>369</v>
      </c>
      <c r="B135" t="str">
        <f t="shared" si="2"/>
        <v>Papua New Guinea</v>
      </c>
      <c r="C135">
        <v>0.56799999999999995</v>
      </c>
    </row>
    <row r="136" spans="1:3" x14ac:dyDescent="0.35">
      <c r="A136" t="s">
        <v>370</v>
      </c>
      <c r="B136" t="str">
        <f t="shared" si="2"/>
        <v>Paraguay</v>
      </c>
      <c r="C136">
        <v>0.72599999999999998</v>
      </c>
    </row>
    <row r="137" spans="1:3" x14ac:dyDescent="0.35">
      <c r="A137" t="s">
        <v>371</v>
      </c>
      <c r="B137" t="str">
        <f t="shared" si="2"/>
        <v>Peru</v>
      </c>
      <c r="C137">
        <v>0.72599999999999998</v>
      </c>
    </row>
    <row r="138" spans="1:3" x14ac:dyDescent="0.35">
      <c r="A138" t="s">
        <v>372</v>
      </c>
      <c r="B138" t="str">
        <f t="shared" si="2"/>
        <v>Philippines</v>
      </c>
      <c r="C138">
        <v>0.69199999999999995</v>
      </c>
    </row>
    <row r="139" spans="1:3" x14ac:dyDescent="0.35">
      <c r="A139" t="s">
        <v>373</v>
      </c>
      <c r="B139" t="str">
        <f t="shared" si="2"/>
        <v>Poland</v>
      </c>
      <c r="C139">
        <v>0.87</v>
      </c>
    </row>
    <row r="140" spans="1:3" x14ac:dyDescent="0.35">
      <c r="A140" t="s">
        <v>374</v>
      </c>
      <c r="B140" t="str">
        <f t="shared" si="2"/>
        <v>Portugal</v>
      </c>
      <c r="C140">
        <v>0.88</v>
      </c>
    </row>
    <row r="141" spans="1:3" x14ac:dyDescent="0.35">
      <c r="A141" t="s">
        <v>375</v>
      </c>
      <c r="B141" t="str">
        <f t="shared" si="2"/>
        <v>Qatar</v>
      </c>
      <c r="C141">
        <v>1</v>
      </c>
    </row>
    <row r="142" spans="1:3" x14ac:dyDescent="0.35">
      <c r="A142" t="s">
        <v>376</v>
      </c>
      <c r="B142" t="str">
        <f t="shared" si="2"/>
        <v>Romania</v>
      </c>
      <c r="C142">
        <v>0.85899999999999999</v>
      </c>
    </row>
    <row r="143" spans="1:3" x14ac:dyDescent="0.35">
      <c r="A143" t="s">
        <v>377</v>
      </c>
      <c r="B143" t="str">
        <f t="shared" si="2"/>
        <v>Russian Federation</v>
      </c>
      <c r="C143">
        <v>0.84099999999999997</v>
      </c>
    </row>
    <row r="144" spans="1:3" x14ac:dyDescent="0.35">
      <c r="A144" t="s">
        <v>378</v>
      </c>
      <c r="B144" t="str">
        <f t="shared" si="2"/>
        <v>Rwanda</v>
      </c>
      <c r="C144">
        <v>0.46400000000000002</v>
      </c>
    </row>
    <row r="145" spans="1:3" x14ac:dyDescent="0.35">
      <c r="A145" t="s">
        <v>439</v>
      </c>
      <c r="B145" t="str">
        <f t="shared" si="2"/>
        <v>Saint Kitts and Nevis</v>
      </c>
      <c r="C145">
        <v>0.83399999999999996</v>
      </c>
    </row>
    <row r="146" spans="1:3" x14ac:dyDescent="0.35">
      <c r="A146" t="s">
        <v>442</v>
      </c>
      <c r="B146" t="str">
        <f t="shared" si="2"/>
        <v>Saint Lucia</v>
      </c>
      <c r="C146">
        <v>0.753</v>
      </c>
    </row>
    <row r="147" spans="1:3" x14ac:dyDescent="0.35">
      <c r="A147" t="s">
        <v>452</v>
      </c>
      <c r="B147" t="str">
        <f t="shared" si="2"/>
        <v>Saint Vincent and the Grenadines</v>
      </c>
      <c r="C147">
        <v>0.72799999999999998</v>
      </c>
    </row>
    <row r="148" spans="1:3" x14ac:dyDescent="0.35">
      <c r="A148" t="s">
        <v>379</v>
      </c>
      <c r="B148" t="str">
        <f t="shared" si="2"/>
        <v>Samoa</v>
      </c>
      <c r="C148">
        <v>0.626</v>
      </c>
    </row>
    <row r="149" spans="1:3" x14ac:dyDescent="0.35">
      <c r="A149" t="s">
        <v>381</v>
      </c>
      <c r="B149" t="str">
        <f t="shared" si="2"/>
        <v>Sao Tome and Principe</v>
      </c>
      <c r="C149">
        <v>0.55500000000000005</v>
      </c>
    </row>
    <row r="150" spans="1:3" x14ac:dyDescent="0.35">
      <c r="A150" t="s">
        <v>382</v>
      </c>
      <c r="B150" t="str">
        <f t="shared" si="2"/>
        <v>Saudi Arabia</v>
      </c>
      <c r="C150">
        <v>0.93100000000000005</v>
      </c>
    </row>
    <row r="151" spans="1:3" x14ac:dyDescent="0.35">
      <c r="A151" t="s">
        <v>383</v>
      </c>
      <c r="B151" t="str">
        <f t="shared" si="2"/>
        <v>Senegal</v>
      </c>
      <c r="C151">
        <v>0.52900000000000003</v>
      </c>
    </row>
    <row r="152" spans="1:3" x14ac:dyDescent="0.35">
      <c r="A152" t="s">
        <v>384</v>
      </c>
      <c r="B152" t="str">
        <f t="shared" si="2"/>
        <v>Serbia</v>
      </c>
      <c r="C152">
        <v>0.77700000000000002</v>
      </c>
    </row>
    <row r="153" spans="1:3" x14ac:dyDescent="0.35">
      <c r="A153" t="s">
        <v>385</v>
      </c>
      <c r="B153" t="str">
        <f t="shared" si="2"/>
        <v>Seychelles</v>
      </c>
      <c r="C153">
        <v>0.84499999999999997</v>
      </c>
    </row>
    <row r="154" spans="1:3" x14ac:dyDescent="0.35">
      <c r="A154" t="s">
        <v>386</v>
      </c>
      <c r="B154" t="str">
        <f t="shared" si="2"/>
        <v>Sierra Leone</v>
      </c>
      <c r="C154">
        <v>0.42499999999999999</v>
      </c>
    </row>
    <row r="155" spans="1:3" x14ac:dyDescent="0.35">
      <c r="A155" t="s">
        <v>387</v>
      </c>
      <c r="B155" t="str">
        <f t="shared" si="2"/>
        <v>Singapore</v>
      </c>
      <c r="C155">
        <v>1</v>
      </c>
    </row>
    <row r="156" spans="1:3" x14ac:dyDescent="0.35">
      <c r="A156" t="s">
        <v>448</v>
      </c>
      <c r="B156" t="str">
        <f t="shared" si="2"/>
        <v>Slovakia</v>
      </c>
      <c r="C156">
        <v>0.872</v>
      </c>
    </row>
    <row r="157" spans="1:3" x14ac:dyDescent="0.35">
      <c r="A157" t="s">
        <v>388</v>
      </c>
      <c r="B157" t="str">
        <f t="shared" si="2"/>
        <v>Slovenia</v>
      </c>
      <c r="C157">
        <v>0.89800000000000002</v>
      </c>
    </row>
    <row r="158" spans="1:3" x14ac:dyDescent="0.35">
      <c r="A158" t="s">
        <v>389</v>
      </c>
      <c r="B158" t="str">
        <f t="shared" si="2"/>
        <v>Solomon Islands</v>
      </c>
      <c r="C158">
        <v>0.47099999999999997</v>
      </c>
    </row>
    <row r="159" spans="1:3" x14ac:dyDescent="0.35">
      <c r="A159" t="s">
        <v>390</v>
      </c>
      <c r="B159" t="str">
        <f t="shared" si="2"/>
        <v>South Africa</v>
      </c>
      <c r="C159">
        <v>0.72499999999999998</v>
      </c>
    </row>
    <row r="160" spans="1:3" x14ac:dyDescent="0.35">
      <c r="A160" t="s">
        <v>391</v>
      </c>
      <c r="B160" t="str">
        <f t="shared" si="2"/>
        <v>South Sudan</v>
      </c>
      <c r="C160">
        <v>0.45300000000000001</v>
      </c>
    </row>
    <row r="161" spans="1:3" x14ac:dyDescent="0.35">
      <c r="A161" t="s">
        <v>392</v>
      </c>
      <c r="B161" t="str">
        <f t="shared" si="2"/>
        <v>Spain</v>
      </c>
      <c r="C161">
        <v>0.90900000000000003</v>
      </c>
    </row>
    <row r="162" spans="1:3" x14ac:dyDescent="0.35">
      <c r="A162" t="s">
        <v>393</v>
      </c>
      <c r="B162" t="str">
        <f t="shared" si="2"/>
        <v>Sri Lanka</v>
      </c>
      <c r="C162">
        <v>0.73199999999999998</v>
      </c>
    </row>
    <row r="163" spans="1:3" x14ac:dyDescent="0.35">
      <c r="A163" t="s">
        <v>394</v>
      </c>
      <c r="B163" t="str">
        <f t="shared" si="2"/>
        <v>Sudan</v>
      </c>
      <c r="C163">
        <v>0.55100000000000005</v>
      </c>
    </row>
    <row r="164" spans="1:3" x14ac:dyDescent="0.35">
      <c r="A164" t="s">
        <v>395</v>
      </c>
      <c r="B164" t="str">
        <f t="shared" si="2"/>
        <v>Suriname</v>
      </c>
      <c r="C164">
        <v>0.75</v>
      </c>
    </row>
    <row r="165" spans="1:3" x14ac:dyDescent="0.35">
      <c r="A165" t="s">
        <v>449</v>
      </c>
      <c r="B165" t="str">
        <f t="shared" si="2"/>
        <v>Sweden</v>
      </c>
      <c r="C165">
        <v>0.95199999999999996</v>
      </c>
    </row>
    <row r="166" spans="1:3" x14ac:dyDescent="0.35">
      <c r="A166" t="s">
        <v>423</v>
      </c>
      <c r="B166" t="str">
        <f t="shared" si="2"/>
        <v>Switzerland</v>
      </c>
      <c r="C166">
        <v>0.98799999999999999</v>
      </c>
    </row>
    <row r="167" spans="1:3" x14ac:dyDescent="0.35">
      <c r="A167" t="s">
        <v>450</v>
      </c>
      <c r="B167" t="str">
        <f t="shared" si="2"/>
        <v>Syrian Arab Republic</v>
      </c>
      <c r="C167">
        <v>0.54200000000000004</v>
      </c>
    </row>
    <row r="168" spans="1:3" x14ac:dyDescent="0.35">
      <c r="A168" t="s">
        <v>396</v>
      </c>
      <c r="B168" t="str">
        <f t="shared" si="2"/>
        <v>Tajikistan</v>
      </c>
      <c r="C168">
        <v>0.55500000000000005</v>
      </c>
    </row>
    <row r="169" spans="1:3" x14ac:dyDescent="0.35">
      <c r="A169" t="s">
        <v>397</v>
      </c>
      <c r="B169" t="str">
        <f t="shared" si="2"/>
        <v>Tanzania (United Republic of)</v>
      </c>
      <c r="C169">
        <v>0.49199999999999999</v>
      </c>
    </row>
    <row r="170" spans="1:3" x14ac:dyDescent="0.35">
      <c r="A170" t="s">
        <v>398</v>
      </c>
      <c r="B170" t="str">
        <f t="shared" si="2"/>
        <v>Thailand</v>
      </c>
      <c r="C170">
        <v>0.78300000000000003</v>
      </c>
    </row>
    <row r="171" spans="1:3" x14ac:dyDescent="0.35">
      <c r="A171" t="s">
        <v>399</v>
      </c>
      <c r="B171" t="str">
        <f t="shared" si="2"/>
        <v>Timor-Leste</v>
      </c>
      <c r="C171">
        <v>0.57299999999999995</v>
      </c>
    </row>
    <row r="172" spans="1:3" x14ac:dyDescent="0.35">
      <c r="A172" t="s">
        <v>400</v>
      </c>
      <c r="B172" t="str">
        <f t="shared" si="2"/>
        <v>Togo</v>
      </c>
      <c r="C172">
        <v>0.41899999999999998</v>
      </c>
    </row>
    <row r="173" spans="1:3" x14ac:dyDescent="0.35">
      <c r="A173" t="s">
        <v>401</v>
      </c>
      <c r="B173" t="str">
        <f t="shared" si="2"/>
        <v>Tonga</v>
      </c>
      <c r="C173">
        <v>0.627</v>
      </c>
    </row>
    <row r="174" spans="1:3" x14ac:dyDescent="0.35">
      <c r="A174" t="s">
        <v>402</v>
      </c>
      <c r="B174" t="str">
        <f t="shared" si="2"/>
        <v>Trinidad and Tobago</v>
      </c>
      <c r="C174">
        <v>0.84099999999999997</v>
      </c>
    </row>
    <row r="175" spans="1:3" x14ac:dyDescent="0.35">
      <c r="A175" t="s">
        <v>403</v>
      </c>
      <c r="B175" t="str">
        <f t="shared" si="2"/>
        <v>Tunisia</v>
      </c>
      <c r="C175">
        <v>0.70199999999999996</v>
      </c>
    </row>
    <row r="176" spans="1:3" x14ac:dyDescent="0.35">
      <c r="A176" t="s">
        <v>404</v>
      </c>
      <c r="B176" t="str">
        <f t="shared" si="2"/>
        <v>Turkey</v>
      </c>
      <c r="C176">
        <v>0.85</v>
      </c>
    </row>
    <row r="177" spans="1:3" x14ac:dyDescent="0.35">
      <c r="A177" t="s">
        <v>405</v>
      </c>
      <c r="B177" t="str">
        <f t="shared" si="2"/>
        <v>Turkmenistan</v>
      </c>
      <c r="C177">
        <v>0.75600000000000001</v>
      </c>
    </row>
    <row r="178" spans="1:3" x14ac:dyDescent="0.35">
      <c r="A178" t="s">
        <v>479</v>
      </c>
      <c r="B178" t="str">
        <f t="shared" si="2"/>
        <v>Tuvalu</v>
      </c>
      <c r="C178">
        <v>0.622</v>
      </c>
    </row>
    <row r="179" spans="1:3" x14ac:dyDescent="0.35">
      <c r="A179" t="s">
        <v>406</v>
      </c>
      <c r="B179" t="str">
        <f t="shared" si="2"/>
        <v>Uganda</v>
      </c>
      <c r="C179">
        <v>0.46200000000000002</v>
      </c>
    </row>
    <row r="180" spans="1:3" x14ac:dyDescent="0.35">
      <c r="A180" t="s">
        <v>407</v>
      </c>
      <c r="B180" t="str">
        <f t="shared" si="2"/>
        <v>Ukraine</v>
      </c>
      <c r="C180">
        <v>0.73799999999999999</v>
      </c>
    </row>
    <row r="181" spans="1:3" x14ac:dyDescent="0.35">
      <c r="A181" t="s">
        <v>408</v>
      </c>
      <c r="B181" t="str">
        <f t="shared" si="2"/>
        <v>United Arab Emirates</v>
      </c>
      <c r="C181">
        <v>0.98399999999999999</v>
      </c>
    </row>
    <row r="182" spans="1:3" x14ac:dyDescent="0.35">
      <c r="A182" t="s">
        <v>473</v>
      </c>
      <c r="B182" t="str">
        <f t="shared" si="2"/>
        <v>The United Kingdom</v>
      </c>
      <c r="C182">
        <v>0.92600000000000005</v>
      </c>
    </row>
    <row r="183" spans="1:3" x14ac:dyDescent="0.35">
      <c r="A183" t="s">
        <v>472</v>
      </c>
      <c r="B183" t="str">
        <f t="shared" si="2"/>
        <v>United States of America</v>
      </c>
      <c r="C183">
        <v>0.97599999999999998</v>
      </c>
    </row>
    <row r="184" spans="1:3" x14ac:dyDescent="0.35">
      <c r="A184" t="s">
        <v>409</v>
      </c>
      <c r="B184" t="str">
        <f t="shared" si="2"/>
        <v>Uruguay</v>
      </c>
      <c r="C184">
        <v>0.80100000000000005</v>
      </c>
    </row>
    <row r="185" spans="1:3" x14ac:dyDescent="0.35">
      <c r="A185" t="s">
        <v>410</v>
      </c>
      <c r="B185" t="str">
        <f t="shared" si="2"/>
        <v>Uzbekistan</v>
      </c>
      <c r="C185">
        <v>0.64500000000000002</v>
      </c>
    </row>
    <row r="186" spans="1:3" x14ac:dyDescent="0.35">
      <c r="A186" t="s">
        <v>411</v>
      </c>
      <c r="B186" t="str">
        <f t="shared" si="2"/>
        <v>Vanuatu</v>
      </c>
      <c r="C186">
        <v>0.51900000000000002</v>
      </c>
    </row>
    <row r="187" spans="1:3" x14ac:dyDescent="0.35">
      <c r="A187" t="s">
        <v>412</v>
      </c>
      <c r="B187" t="str">
        <f t="shared" si="2"/>
        <v>Venezuela (Bolivarian Republic of)</v>
      </c>
      <c r="C187">
        <v>0.64300000000000002</v>
      </c>
    </row>
    <row r="188" spans="1:3" x14ac:dyDescent="0.35">
      <c r="A188" t="s">
        <v>413</v>
      </c>
      <c r="B188" t="str">
        <f t="shared" si="2"/>
        <v>Viet Nam</v>
      </c>
      <c r="C188">
        <v>0.65100000000000002</v>
      </c>
    </row>
    <row r="189" spans="1:3" x14ac:dyDescent="0.35">
      <c r="A189" t="s">
        <v>453</v>
      </c>
      <c r="B189" t="str">
        <f t="shared" si="2"/>
        <v>Yemen</v>
      </c>
      <c r="C189">
        <v>0.41799999999999998</v>
      </c>
    </row>
    <row r="190" spans="1:3" x14ac:dyDescent="0.35">
      <c r="A190" t="s">
        <v>414</v>
      </c>
      <c r="B190" t="str">
        <f t="shared" si="2"/>
        <v>Zambia</v>
      </c>
      <c r="C190">
        <v>0.52900000000000003</v>
      </c>
    </row>
    <row r="191" spans="1:3" x14ac:dyDescent="0.35">
      <c r="A191" t="s">
        <v>415</v>
      </c>
      <c r="B191" t="str">
        <f t="shared" si="2"/>
        <v>Zimbabwe</v>
      </c>
      <c r="C191">
        <v>0.496</v>
      </c>
    </row>
    <row r="192" spans="1:3" x14ac:dyDescent="0.35">
      <c r="A192" t="s">
        <v>454</v>
      </c>
      <c r="B192" t="str">
        <f t="shared" si="2"/>
        <v>Human Development</v>
      </c>
      <c r="C192" t="s">
        <v>471</v>
      </c>
    </row>
    <row r="193" spans="1:3" x14ac:dyDescent="0.35">
      <c r="A193" t="s">
        <v>455</v>
      </c>
      <c r="B193" t="str">
        <f t="shared" si="2"/>
        <v>Very high human development</v>
      </c>
      <c r="C193">
        <v>0.92100000000000004</v>
      </c>
    </row>
    <row r="194" spans="1:3" x14ac:dyDescent="0.35">
      <c r="A194" t="s">
        <v>456</v>
      </c>
      <c r="B194" t="str">
        <f t="shared" ref="B194:B208" si="3">TRIM(A194)</f>
        <v>High human development</v>
      </c>
      <c r="C194">
        <v>0.749</v>
      </c>
    </row>
    <row r="195" spans="1:3" x14ac:dyDescent="0.35">
      <c r="A195" t="s">
        <v>457</v>
      </c>
      <c r="B195" t="str">
        <f t="shared" si="3"/>
        <v>Medium human development</v>
      </c>
      <c r="C195">
        <v>0.622</v>
      </c>
    </row>
    <row r="196" spans="1:3" x14ac:dyDescent="0.35">
      <c r="A196" t="s">
        <v>458</v>
      </c>
      <c r="B196" t="str">
        <f t="shared" si="3"/>
        <v>Low human development</v>
      </c>
      <c r="C196">
        <v>0.5</v>
      </c>
    </row>
    <row r="197" spans="1:3" x14ac:dyDescent="0.35">
      <c r="A197" t="s">
        <v>459</v>
      </c>
      <c r="B197" t="str">
        <f t="shared" si="3"/>
        <v>Developing Countries</v>
      </c>
      <c r="C197">
        <v>0.70399999999999996</v>
      </c>
    </row>
    <row r="198" spans="1:3" x14ac:dyDescent="0.35">
      <c r="A198" t="s">
        <v>460</v>
      </c>
      <c r="B198" t="str">
        <f t="shared" si="3"/>
        <v>Regions</v>
      </c>
      <c r="C198" t="s">
        <v>471</v>
      </c>
    </row>
    <row r="199" spans="1:3" x14ac:dyDescent="0.35">
      <c r="A199" t="s">
        <v>461</v>
      </c>
      <c r="B199" t="str">
        <f t="shared" si="3"/>
        <v>Arab States</v>
      </c>
      <c r="C199">
        <v>0.754</v>
      </c>
    </row>
    <row r="200" spans="1:3" x14ac:dyDescent="0.35">
      <c r="A200" t="s">
        <v>462</v>
      </c>
      <c r="B200" t="str">
        <f t="shared" si="3"/>
        <v>East Asia and the Pacific</v>
      </c>
      <c r="C200">
        <v>0.754</v>
      </c>
    </row>
    <row r="201" spans="1:3" x14ac:dyDescent="0.35">
      <c r="A201" t="s">
        <v>463</v>
      </c>
      <c r="B201" t="str">
        <f t="shared" si="3"/>
        <v>Europe and Central Asia</v>
      </c>
      <c r="C201">
        <v>0.78400000000000003</v>
      </c>
    </row>
    <row r="202" spans="1:3" x14ac:dyDescent="0.35">
      <c r="A202" t="s">
        <v>464</v>
      </c>
      <c r="B202" t="str">
        <f t="shared" si="3"/>
        <v>Latin America and the Caribbean</v>
      </c>
      <c r="C202">
        <v>0.755</v>
      </c>
    </row>
    <row r="203" spans="1:3" x14ac:dyDescent="0.35">
      <c r="A203" t="s">
        <v>465</v>
      </c>
      <c r="B203" t="str">
        <f t="shared" si="3"/>
        <v>South Asia</v>
      </c>
      <c r="C203">
        <v>0.63100000000000001</v>
      </c>
    </row>
    <row r="204" spans="1:3" x14ac:dyDescent="0.35">
      <c r="A204" t="s">
        <v>466</v>
      </c>
      <c r="B204" t="str">
        <f t="shared" si="3"/>
        <v>Sub-Saharan Africa</v>
      </c>
      <c r="C204">
        <v>0.54500000000000004</v>
      </c>
    </row>
    <row r="205" spans="1:3" x14ac:dyDescent="0.35">
      <c r="A205" t="s">
        <v>467</v>
      </c>
      <c r="B205" t="str">
        <f t="shared" si="3"/>
        <v>Least Developed Countries</v>
      </c>
      <c r="C205">
        <v>0.51</v>
      </c>
    </row>
    <row r="206" spans="1:3" x14ac:dyDescent="0.35">
      <c r="A206" t="s">
        <v>468</v>
      </c>
      <c r="B206" t="str">
        <f t="shared" si="3"/>
        <v>Small Island Developing States</v>
      </c>
      <c r="C206">
        <v>0.76400000000000001</v>
      </c>
    </row>
    <row r="207" spans="1:3" x14ac:dyDescent="0.35">
      <c r="A207" t="s">
        <v>469</v>
      </c>
      <c r="B207" t="str">
        <f t="shared" si="3"/>
        <v>Organization for Economic Co-operation and Development</v>
      </c>
      <c r="C207">
        <v>0.92300000000000004</v>
      </c>
    </row>
    <row r="208" spans="1:3" x14ac:dyDescent="0.35">
      <c r="A208" t="s">
        <v>470</v>
      </c>
      <c r="B208" t="str">
        <f t="shared" si="3"/>
        <v>World</v>
      </c>
      <c r="C208">
        <v>0.77300000000000002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2"/>
  <sheetViews>
    <sheetView topLeftCell="A32" workbookViewId="0">
      <selection activeCell="C41" sqref="C41:C42"/>
    </sheetView>
  </sheetViews>
  <sheetFormatPr defaultRowHeight="14.5" x14ac:dyDescent="0.35"/>
  <cols>
    <col min="1" max="1" width="46.90625" customWidth="1"/>
    <col min="2" max="2" width="44.81640625" customWidth="1"/>
  </cols>
  <sheetData>
    <row r="1" spans="1:3" x14ac:dyDescent="0.35">
      <c r="A1" t="s">
        <v>263</v>
      </c>
      <c r="B1" t="str">
        <f>TRIM(A1)</f>
        <v>Afghanistan</v>
      </c>
      <c r="C1">
        <v>13.5</v>
      </c>
    </row>
    <row r="2" spans="1:3" x14ac:dyDescent="0.35">
      <c r="A2" t="s">
        <v>264</v>
      </c>
      <c r="B2" t="str">
        <f t="shared" ref="B2:B65" si="0">TRIM(A2)</f>
        <v>Albania</v>
      </c>
      <c r="C2">
        <v>71.8</v>
      </c>
    </row>
    <row r="3" spans="1:3" x14ac:dyDescent="0.35">
      <c r="A3" t="s">
        <v>265</v>
      </c>
      <c r="B3" t="str">
        <f t="shared" si="0"/>
        <v>Algeria</v>
      </c>
      <c r="C3">
        <v>59.6</v>
      </c>
    </row>
    <row r="4" spans="1:3" x14ac:dyDescent="0.35">
      <c r="A4" t="s">
        <v>416</v>
      </c>
      <c r="B4" t="str">
        <f t="shared" si="0"/>
        <v>Andorra</v>
      </c>
      <c r="C4">
        <v>91.6</v>
      </c>
    </row>
    <row r="5" spans="1:3" x14ac:dyDescent="0.35">
      <c r="A5" t="s">
        <v>266</v>
      </c>
      <c r="B5" t="str">
        <f t="shared" si="0"/>
        <v>Angola</v>
      </c>
      <c r="C5">
        <v>14.3</v>
      </c>
    </row>
    <row r="6" spans="1:3" x14ac:dyDescent="0.35">
      <c r="A6" t="s">
        <v>267</v>
      </c>
      <c r="B6" t="str">
        <f t="shared" si="0"/>
        <v>Antigua and Barbuda</v>
      </c>
      <c r="C6">
        <v>76</v>
      </c>
    </row>
    <row r="7" spans="1:3" x14ac:dyDescent="0.35">
      <c r="A7" t="s">
        <v>268</v>
      </c>
      <c r="B7" t="str">
        <f t="shared" si="0"/>
        <v>Argentina</v>
      </c>
      <c r="C7">
        <v>74.3</v>
      </c>
    </row>
    <row r="8" spans="1:3" x14ac:dyDescent="0.35">
      <c r="A8" t="s">
        <v>269</v>
      </c>
      <c r="B8" t="str">
        <f t="shared" si="0"/>
        <v>Armenia</v>
      </c>
      <c r="C8">
        <v>64.7</v>
      </c>
    </row>
    <row r="9" spans="1:3" x14ac:dyDescent="0.35">
      <c r="A9" t="s">
        <v>417</v>
      </c>
      <c r="B9" t="str">
        <f t="shared" si="0"/>
        <v>Australia</v>
      </c>
      <c r="C9">
        <v>86.5</v>
      </c>
    </row>
    <row r="10" spans="1:3" x14ac:dyDescent="0.35">
      <c r="A10" t="s">
        <v>418</v>
      </c>
      <c r="B10" t="str">
        <f t="shared" si="0"/>
        <v>Austria</v>
      </c>
      <c r="C10">
        <v>87.7</v>
      </c>
    </row>
    <row r="11" spans="1:3" x14ac:dyDescent="0.35">
      <c r="A11" t="s">
        <v>270</v>
      </c>
      <c r="B11" t="str">
        <f t="shared" si="0"/>
        <v>Azerbaijan</v>
      </c>
      <c r="C11">
        <v>79.8</v>
      </c>
    </row>
    <row r="12" spans="1:3" x14ac:dyDescent="0.35">
      <c r="A12" t="s">
        <v>420</v>
      </c>
      <c r="B12" t="str">
        <f t="shared" si="0"/>
        <v>Bahamas</v>
      </c>
      <c r="C12">
        <v>85</v>
      </c>
    </row>
    <row r="13" spans="1:3" x14ac:dyDescent="0.35">
      <c r="A13" t="s">
        <v>271</v>
      </c>
      <c r="B13" t="str">
        <f t="shared" si="0"/>
        <v>Bahrain</v>
      </c>
      <c r="C13">
        <v>98.6</v>
      </c>
    </row>
    <row r="14" spans="1:3" x14ac:dyDescent="0.35">
      <c r="A14" t="s">
        <v>272</v>
      </c>
      <c r="B14" t="str">
        <f t="shared" si="0"/>
        <v>Bangladesh</v>
      </c>
      <c r="C14">
        <v>15</v>
      </c>
    </row>
    <row r="15" spans="1:3" x14ac:dyDescent="0.35">
      <c r="A15" t="s">
        <v>273</v>
      </c>
      <c r="B15" t="str">
        <f t="shared" si="0"/>
        <v>Barbados</v>
      </c>
      <c r="C15">
        <v>81.8</v>
      </c>
    </row>
    <row r="16" spans="1:3" x14ac:dyDescent="0.35">
      <c r="A16" t="s">
        <v>274</v>
      </c>
      <c r="B16" t="str">
        <f t="shared" si="0"/>
        <v>Belarus</v>
      </c>
      <c r="C16">
        <v>79.099999999999994</v>
      </c>
    </row>
    <row r="17" spans="1:3" x14ac:dyDescent="0.35">
      <c r="A17" t="s">
        <v>419</v>
      </c>
      <c r="B17" t="str">
        <f t="shared" si="0"/>
        <v>Belgium</v>
      </c>
      <c r="C17">
        <v>88.7</v>
      </c>
    </row>
    <row r="18" spans="1:3" x14ac:dyDescent="0.35">
      <c r="A18" t="s">
        <v>421</v>
      </c>
      <c r="B18" t="str">
        <f t="shared" si="0"/>
        <v>Belize</v>
      </c>
      <c r="C18">
        <v>47.1</v>
      </c>
    </row>
    <row r="19" spans="1:3" x14ac:dyDescent="0.35">
      <c r="A19" t="s">
        <v>275</v>
      </c>
      <c r="B19" t="str">
        <f t="shared" si="0"/>
        <v>Benin</v>
      </c>
      <c r="C19">
        <v>20</v>
      </c>
    </row>
    <row r="20" spans="1:3" x14ac:dyDescent="0.35">
      <c r="A20" t="s">
        <v>276</v>
      </c>
      <c r="B20" t="str">
        <f t="shared" si="0"/>
        <v>Bhutan</v>
      </c>
      <c r="C20">
        <v>48.1</v>
      </c>
    </row>
    <row r="21" spans="1:3" x14ac:dyDescent="0.35">
      <c r="A21" t="s">
        <v>277</v>
      </c>
      <c r="B21" t="str">
        <f t="shared" si="0"/>
        <v>Bolivia (Plurinational State of)</v>
      </c>
      <c r="C21">
        <v>43.8</v>
      </c>
    </row>
    <row r="22" spans="1:3" x14ac:dyDescent="0.35">
      <c r="A22" t="s">
        <v>278</v>
      </c>
      <c r="B22" t="str">
        <f t="shared" si="0"/>
        <v>Bosnia and Herzegovina</v>
      </c>
      <c r="C22">
        <v>70.099999999999994</v>
      </c>
    </row>
    <row r="23" spans="1:3" x14ac:dyDescent="0.35">
      <c r="A23" t="s">
        <v>279</v>
      </c>
      <c r="B23" t="str">
        <f t="shared" si="0"/>
        <v>Botswana</v>
      </c>
      <c r="C23">
        <v>47</v>
      </c>
    </row>
    <row r="24" spans="1:3" x14ac:dyDescent="0.35">
      <c r="A24" t="s">
        <v>280</v>
      </c>
      <c r="B24" t="str">
        <f t="shared" si="0"/>
        <v>Brazil</v>
      </c>
      <c r="C24">
        <v>67.5</v>
      </c>
    </row>
    <row r="25" spans="1:3" x14ac:dyDescent="0.35">
      <c r="A25" t="s">
        <v>281</v>
      </c>
      <c r="B25" t="str">
        <f t="shared" si="0"/>
        <v>Brunei Darussalam</v>
      </c>
      <c r="C25">
        <v>94.6</v>
      </c>
    </row>
    <row r="26" spans="1:3" x14ac:dyDescent="0.35">
      <c r="A26" t="s">
        <v>282</v>
      </c>
      <c r="B26" t="str">
        <f t="shared" si="0"/>
        <v>Bulgaria</v>
      </c>
      <c r="C26">
        <v>64.8</v>
      </c>
    </row>
    <row r="27" spans="1:3" x14ac:dyDescent="0.35">
      <c r="A27" t="s">
        <v>283</v>
      </c>
      <c r="B27" t="str">
        <f t="shared" si="0"/>
        <v>Burkina Faso</v>
      </c>
      <c r="C27">
        <v>16</v>
      </c>
    </row>
    <row r="28" spans="1:3" x14ac:dyDescent="0.35">
      <c r="A28" t="s">
        <v>284</v>
      </c>
      <c r="B28" t="str">
        <f t="shared" si="0"/>
        <v>Burundi</v>
      </c>
      <c r="C28">
        <v>2.7</v>
      </c>
    </row>
    <row r="29" spans="1:3" x14ac:dyDescent="0.35">
      <c r="A29" t="s">
        <v>285</v>
      </c>
      <c r="B29" t="str">
        <f t="shared" si="0"/>
        <v>Cabo Verde</v>
      </c>
      <c r="C29">
        <v>58.2</v>
      </c>
    </row>
    <row r="30" spans="1:3" x14ac:dyDescent="0.35">
      <c r="A30" t="s">
        <v>286</v>
      </c>
      <c r="B30" t="str">
        <f t="shared" si="0"/>
        <v>Cambodia</v>
      </c>
      <c r="C30">
        <v>40</v>
      </c>
    </row>
    <row r="31" spans="1:3" x14ac:dyDescent="0.35">
      <c r="A31" t="s">
        <v>287</v>
      </c>
      <c r="B31" t="str">
        <f t="shared" si="0"/>
        <v>Cameroon</v>
      </c>
      <c r="C31">
        <v>23.2</v>
      </c>
    </row>
    <row r="32" spans="1:3" x14ac:dyDescent="0.35">
      <c r="A32" t="s">
        <v>422</v>
      </c>
      <c r="B32" t="str">
        <f t="shared" si="0"/>
        <v>Canada</v>
      </c>
      <c r="C32">
        <v>91</v>
      </c>
    </row>
    <row r="33" spans="1:3" x14ac:dyDescent="0.35">
      <c r="A33" t="s">
        <v>288</v>
      </c>
      <c r="B33" t="str">
        <f t="shared" si="0"/>
        <v>Central African Republic</v>
      </c>
      <c r="C33">
        <v>4.3</v>
      </c>
    </row>
    <row r="34" spans="1:3" x14ac:dyDescent="0.35">
      <c r="A34" t="s">
        <v>289</v>
      </c>
      <c r="B34" t="str">
        <f t="shared" si="0"/>
        <v>Chad</v>
      </c>
      <c r="C34">
        <v>6.5</v>
      </c>
    </row>
    <row r="35" spans="1:3" x14ac:dyDescent="0.35">
      <c r="A35" t="s">
        <v>290</v>
      </c>
      <c r="B35" t="str">
        <f t="shared" si="0"/>
        <v>Chile</v>
      </c>
      <c r="C35">
        <v>82.3</v>
      </c>
    </row>
    <row r="36" spans="1:3" x14ac:dyDescent="0.35">
      <c r="A36" t="s">
        <v>291</v>
      </c>
      <c r="B36" t="str">
        <f t="shared" si="0"/>
        <v>China</v>
      </c>
      <c r="C36">
        <v>54.3</v>
      </c>
    </row>
    <row r="37" spans="1:3" x14ac:dyDescent="0.35">
      <c r="A37" t="s">
        <v>292</v>
      </c>
      <c r="B37" t="str">
        <f t="shared" si="0"/>
        <v>Colombia</v>
      </c>
      <c r="C37">
        <v>62.3</v>
      </c>
    </row>
    <row r="38" spans="1:3" x14ac:dyDescent="0.35">
      <c r="A38" t="s">
        <v>293</v>
      </c>
      <c r="B38" t="str">
        <f t="shared" si="0"/>
        <v>Comoros</v>
      </c>
      <c r="C38">
        <v>8.5</v>
      </c>
    </row>
    <row r="39" spans="1:3" x14ac:dyDescent="0.35">
      <c r="A39" t="s">
        <v>294</v>
      </c>
      <c r="B39" t="str">
        <f t="shared" si="0"/>
        <v>Congo</v>
      </c>
      <c r="C39">
        <v>8.6999999999999993</v>
      </c>
    </row>
    <row r="40" spans="1:3" x14ac:dyDescent="0.35">
      <c r="A40" t="s">
        <v>295</v>
      </c>
      <c r="B40" t="str">
        <f t="shared" si="0"/>
        <v>Congo (Democratic Republic of the)</v>
      </c>
      <c r="C40">
        <v>8.6</v>
      </c>
    </row>
    <row r="41" spans="1:3" x14ac:dyDescent="0.35">
      <c r="A41" t="s">
        <v>296</v>
      </c>
      <c r="B41" t="str">
        <f t="shared" si="0"/>
        <v>Costa Rica</v>
      </c>
      <c r="C41">
        <v>74.099999999999994</v>
      </c>
    </row>
    <row r="42" spans="1:3" x14ac:dyDescent="0.35">
      <c r="A42" t="s">
        <v>297</v>
      </c>
      <c r="B42" t="str">
        <f t="shared" si="0"/>
        <v>Croatia</v>
      </c>
      <c r="C42">
        <v>72.7</v>
      </c>
    </row>
    <row r="43" spans="1:3" x14ac:dyDescent="0.35">
      <c r="A43" t="s">
        <v>298</v>
      </c>
      <c r="B43" t="str">
        <f t="shared" si="0"/>
        <v>Cuba</v>
      </c>
      <c r="C43">
        <v>57.1</v>
      </c>
    </row>
    <row r="44" spans="1:3" x14ac:dyDescent="0.35">
      <c r="A44" t="s">
        <v>299</v>
      </c>
      <c r="B44" t="str">
        <f t="shared" si="0"/>
        <v>Cyprus</v>
      </c>
      <c r="C44">
        <v>84.4</v>
      </c>
    </row>
    <row r="45" spans="1:3" x14ac:dyDescent="0.35">
      <c r="A45" t="s">
        <v>424</v>
      </c>
      <c r="B45" t="str">
        <f t="shared" si="0"/>
        <v>Czechia</v>
      </c>
      <c r="C45">
        <v>80.7</v>
      </c>
    </row>
    <row r="46" spans="1:3" x14ac:dyDescent="0.35">
      <c r="A46" t="s">
        <v>300</v>
      </c>
      <c r="B46" t="str">
        <f t="shared" si="0"/>
        <v>Côte d'Ivoire</v>
      </c>
      <c r="C46">
        <v>46.8</v>
      </c>
    </row>
    <row r="47" spans="1:3" x14ac:dyDescent="0.35">
      <c r="A47" t="s">
        <v>428</v>
      </c>
      <c r="B47" t="str">
        <f t="shared" si="0"/>
        <v>Denmark</v>
      </c>
      <c r="C47">
        <v>97.6</v>
      </c>
    </row>
    <row r="48" spans="1:3" x14ac:dyDescent="0.35">
      <c r="A48" t="s">
        <v>426</v>
      </c>
      <c r="B48" t="str">
        <f t="shared" si="0"/>
        <v>Djibouti</v>
      </c>
      <c r="C48">
        <v>55.7</v>
      </c>
    </row>
    <row r="49" spans="1:3" x14ac:dyDescent="0.35">
      <c r="A49" t="s">
        <v>427</v>
      </c>
      <c r="B49" t="str">
        <f t="shared" si="0"/>
        <v>Dominica</v>
      </c>
      <c r="C49">
        <v>69.599999999999994</v>
      </c>
    </row>
    <row r="50" spans="1:3" x14ac:dyDescent="0.35">
      <c r="A50" t="s">
        <v>301</v>
      </c>
      <c r="B50" t="str">
        <f t="shared" si="0"/>
        <v>Dominican Republic</v>
      </c>
      <c r="C50">
        <v>74.8</v>
      </c>
    </row>
    <row r="51" spans="1:3" x14ac:dyDescent="0.35">
      <c r="A51" t="s">
        <v>302</v>
      </c>
      <c r="B51" t="str">
        <f t="shared" si="0"/>
        <v>Ecuador</v>
      </c>
      <c r="C51">
        <v>57.3</v>
      </c>
    </row>
    <row r="52" spans="1:3" x14ac:dyDescent="0.35">
      <c r="A52" t="s">
        <v>303</v>
      </c>
      <c r="B52" t="str">
        <f t="shared" si="0"/>
        <v>Egypt</v>
      </c>
      <c r="C52">
        <v>46.9</v>
      </c>
    </row>
    <row r="53" spans="1:3" x14ac:dyDescent="0.35">
      <c r="A53" t="s">
        <v>304</v>
      </c>
      <c r="B53" t="str">
        <f t="shared" si="0"/>
        <v>El Salvador</v>
      </c>
      <c r="C53">
        <v>33.799999999999997</v>
      </c>
    </row>
    <row r="54" spans="1:3" x14ac:dyDescent="0.35">
      <c r="A54" t="s">
        <v>305</v>
      </c>
      <c r="B54" t="str">
        <f t="shared" si="0"/>
        <v>Equatorial Guinea</v>
      </c>
      <c r="C54">
        <v>26.2</v>
      </c>
    </row>
    <row r="55" spans="1:3" x14ac:dyDescent="0.35">
      <c r="A55" t="s">
        <v>306</v>
      </c>
      <c r="B55" t="str">
        <f t="shared" si="0"/>
        <v>Eritrea</v>
      </c>
      <c r="C55">
        <v>1.3</v>
      </c>
    </row>
    <row r="56" spans="1:3" x14ac:dyDescent="0.35">
      <c r="A56" t="s">
        <v>307</v>
      </c>
      <c r="B56" t="str">
        <f t="shared" si="0"/>
        <v>Estonia</v>
      </c>
      <c r="C56">
        <v>89.4</v>
      </c>
    </row>
    <row r="57" spans="1:3" x14ac:dyDescent="0.35">
      <c r="A57" t="s">
        <v>308</v>
      </c>
      <c r="B57" t="str">
        <f t="shared" si="0"/>
        <v>Eswatini (Kingdom of)</v>
      </c>
      <c r="C57">
        <v>47</v>
      </c>
    </row>
    <row r="58" spans="1:3" x14ac:dyDescent="0.35">
      <c r="A58" t="s">
        <v>309</v>
      </c>
      <c r="B58" t="str">
        <f t="shared" si="0"/>
        <v>Ethiopia</v>
      </c>
      <c r="C58">
        <v>18.600000000000001</v>
      </c>
    </row>
    <row r="59" spans="1:3" x14ac:dyDescent="0.35">
      <c r="A59" t="s">
        <v>310</v>
      </c>
      <c r="B59" t="str">
        <f t="shared" si="0"/>
        <v>Fiji</v>
      </c>
      <c r="C59">
        <v>50</v>
      </c>
    </row>
    <row r="60" spans="1:3" x14ac:dyDescent="0.35">
      <c r="A60" t="s">
        <v>429</v>
      </c>
      <c r="B60" t="str">
        <f t="shared" si="0"/>
        <v>Finland</v>
      </c>
      <c r="C60">
        <v>88.9</v>
      </c>
    </row>
    <row r="61" spans="1:3" x14ac:dyDescent="0.35">
      <c r="A61" t="s">
        <v>430</v>
      </c>
      <c r="B61" t="str">
        <f t="shared" si="0"/>
        <v>France</v>
      </c>
      <c r="C61">
        <v>82</v>
      </c>
    </row>
    <row r="62" spans="1:3" x14ac:dyDescent="0.35">
      <c r="A62" t="s">
        <v>311</v>
      </c>
      <c r="B62" t="str">
        <f t="shared" si="0"/>
        <v>Gabon</v>
      </c>
      <c r="C62">
        <v>62</v>
      </c>
    </row>
    <row r="63" spans="1:3" x14ac:dyDescent="0.35">
      <c r="A63" t="s">
        <v>312</v>
      </c>
      <c r="B63" t="str">
        <f t="shared" si="0"/>
        <v>Gambia</v>
      </c>
      <c r="C63">
        <v>19.8</v>
      </c>
    </row>
    <row r="64" spans="1:3" x14ac:dyDescent="0.35">
      <c r="A64" t="s">
        <v>313</v>
      </c>
      <c r="B64" t="str">
        <f t="shared" si="0"/>
        <v>Georgia</v>
      </c>
      <c r="C64">
        <v>64</v>
      </c>
    </row>
    <row r="65" spans="1:3" x14ac:dyDescent="0.35">
      <c r="A65" t="s">
        <v>425</v>
      </c>
      <c r="B65" t="str">
        <f t="shared" si="0"/>
        <v>Germany</v>
      </c>
      <c r="C65">
        <v>89.7</v>
      </c>
    </row>
    <row r="66" spans="1:3" x14ac:dyDescent="0.35">
      <c r="A66" t="s">
        <v>314</v>
      </c>
      <c r="B66" t="str">
        <f t="shared" ref="B66:B129" si="1">TRIM(A66)</f>
        <v>Ghana</v>
      </c>
      <c r="C66">
        <v>39</v>
      </c>
    </row>
    <row r="67" spans="1:3" x14ac:dyDescent="0.35">
      <c r="A67" t="s">
        <v>315</v>
      </c>
      <c r="B67" t="str">
        <f t="shared" si="1"/>
        <v>Greece</v>
      </c>
      <c r="C67">
        <v>73</v>
      </c>
    </row>
    <row r="68" spans="1:3" x14ac:dyDescent="0.35">
      <c r="A68" t="s">
        <v>316</v>
      </c>
      <c r="B68" t="str">
        <f t="shared" si="1"/>
        <v>Grenada</v>
      </c>
      <c r="C68">
        <v>59.1</v>
      </c>
    </row>
    <row r="69" spans="1:3" x14ac:dyDescent="0.35">
      <c r="A69" t="s">
        <v>317</v>
      </c>
      <c r="B69" t="str">
        <f t="shared" si="1"/>
        <v>Guatemala</v>
      </c>
      <c r="C69">
        <v>65</v>
      </c>
    </row>
    <row r="70" spans="1:3" x14ac:dyDescent="0.35">
      <c r="A70" t="s">
        <v>318</v>
      </c>
      <c r="B70" t="str">
        <f t="shared" si="1"/>
        <v>Guinea</v>
      </c>
      <c r="C70">
        <v>18</v>
      </c>
    </row>
    <row r="71" spans="1:3" x14ac:dyDescent="0.35">
      <c r="A71" t="s">
        <v>319</v>
      </c>
      <c r="B71" t="str">
        <f t="shared" si="1"/>
        <v>Guinea-Bissau</v>
      </c>
      <c r="C71">
        <v>3.9</v>
      </c>
    </row>
    <row r="72" spans="1:3" x14ac:dyDescent="0.35">
      <c r="A72" t="s">
        <v>320</v>
      </c>
      <c r="B72" t="str">
        <f t="shared" si="1"/>
        <v>Guyana</v>
      </c>
      <c r="C72">
        <v>37.299999999999997</v>
      </c>
    </row>
    <row r="73" spans="1:3" x14ac:dyDescent="0.35">
      <c r="A73" t="s">
        <v>321</v>
      </c>
      <c r="B73" t="str">
        <f t="shared" si="1"/>
        <v>Haiti</v>
      </c>
      <c r="C73">
        <v>32.5</v>
      </c>
    </row>
    <row r="74" spans="1:3" x14ac:dyDescent="0.35">
      <c r="A74" t="s">
        <v>322</v>
      </c>
      <c r="B74" t="str">
        <f t="shared" si="1"/>
        <v>Honduras</v>
      </c>
      <c r="C74">
        <v>31.7</v>
      </c>
    </row>
    <row r="75" spans="1:3" x14ac:dyDescent="0.35">
      <c r="A75" t="s">
        <v>433</v>
      </c>
      <c r="B75" t="str">
        <f t="shared" si="1"/>
        <v>Hong Kong, China (SAR)</v>
      </c>
      <c r="C75">
        <v>89.4</v>
      </c>
    </row>
    <row r="76" spans="1:3" x14ac:dyDescent="0.35">
      <c r="A76" t="s">
        <v>323</v>
      </c>
      <c r="B76" t="str">
        <f t="shared" si="1"/>
        <v>Hungary</v>
      </c>
      <c r="C76">
        <v>76.099999999999994</v>
      </c>
    </row>
    <row r="77" spans="1:3" x14ac:dyDescent="0.35">
      <c r="A77" t="s">
        <v>435</v>
      </c>
      <c r="B77" t="str">
        <f t="shared" si="1"/>
        <v>Iceland</v>
      </c>
      <c r="C77">
        <v>99</v>
      </c>
    </row>
    <row r="78" spans="1:3" x14ac:dyDescent="0.35">
      <c r="A78" t="s">
        <v>324</v>
      </c>
      <c r="B78" t="str">
        <f t="shared" si="1"/>
        <v>India</v>
      </c>
      <c r="C78">
        <v>34.5</v>
      </c>
    </row>
    <row r="79" spans="1:3" x14ac:dyDescent="0.35">
      <c r="A79" t="s">
        <v>325</v>
      </c>
      <c r="B79" t="str">
        <f t="shared" si="1"/>
        <v>Indonesia</v>
      </c>
      <c r="C79">
        <v>39.799999999999997</v>
      </c>
    </row>
    <row r="80" spans="1:3" x14ac:dyDescent="0.35">
      <c r="A80" t="s">
        <v>326</v>
      </c>
      <c r="B80" t="str">
        <f t="shared" si="1"/>
        <v>Iran (Islamic Republic of)</v>
      </c>
      <c r="C80">
        <v>70</v>
      </c>
    </row>
    <row r="81" spans="1:3" x14ac:dyDescent="0.35">
      <c r="A81" t="s">
        <v>327</v>
      </c>
      <c r="B81" t="str">
        <f t="shared" si="1"/>
        <v>Iraq</v>
      </c>
      <c r="C81">
        <v>49.4</v>
      </c>
    </row>
    <row r="82" spans="1:3" x14ac:dyDescent="0.35">
      <c r="A82" t="s">
        <v>434</v>
      </c>
      <c r="B82" t="str">
        <f t="shared" si="1"/>
        <v>Ireland</v>
      </c>
      <c r="C82">
        <v>84.5</v>
      </c>
    </row>
    <row r="83" spans="1:3" x14ac:dyDescent="0.35">
      <c r="A83" t="s">
        <v>436</v>
      </c>
      <c r="B83" t="str">
        <f t="shared" si="1"/>
        <v>Israel</v>
      </c>
      <c r="C83">
        <v>81.599999999999994</v>
      </c>
    </row>
    <row r="84" spans="1:3" x14ac:dyDescent="0.35">
      <c r="A84" t="s">
        <v>328</v>
      </c>
      <c r="B84" t="str">
        <f t="shared" si="1"/>
        <v>Italy</v>
      </c>
      <c r="C84">
        <v>74.400000000000006</v>
      </c>
    </row>
    <row r="85" spans="1:3" x14ac:dyDescent="0.35">
      <c r="A85" t="s">
        <v>329</v>
      </c>
      <c r="B85" t="str">
        <f t="shared" si="1"/>
        <v>Jamaica</v>
      </c>
      <c r="C85">
        <v>55.1</v>
      </c>
    </row>
    <row r="86" spans="1:3" x14ac:dyDescent="0.35">
      <c r="A86" t="s">
        <v>437</v>
      </c>
      <c r="B86" t="str">
        <f t="shared" si="1"/>
        <v>Japan</v>
      </c>
      <c r="C86">
        <v>84.6</v>
      </c>
    </row>
    <row r="87" spans="1:3" x14ac:dyDescent="0.35">
      <c r="A87" t="s">
        <v>330</v>
      </c>
      <c r="B87" t="str">
        <f t="shared" si="1"/>
        <v>Jordan</v>
      </c>
      <c r="C87">
        <v>66.8</v>
      </c>
    </row>
    <row r="88" spans="1:3" x14ac:dyDescent="0.35">
      <c r="A88" t="s">
        <v>331</v>
      </c>
      <c r="B88" t="str">
        <f t="shared" si="1"/>
        <v>Kazakhstan</v>
      </c>
      <c r="C88">
        <v>78.900000000000006</v>
      </c>
    </row>
    <row r="89" spans="1:3" x14ac:dyDescent="0.35">
      <c r="A89" t="s">
        <v>332</v>
      </c>
      <c r="B89" t="str">
        <f t="shared" si="1"/>
        <v>Kenya</v>
      </c>
      <c r="C89">
        <v>17.8</v>
      </c>
    </row>
    <row r="90" spans="1:3" x14ac:dyDescent="0.35">
      <c r="A90" t="s">
        <v>438</v>
      </c>
      <c r="B90" t="str">
        <f t="shared" si="1"/>
        <v>Kiribati</v>
      </c>
      <c r="C90">
        <v>14.6</v>
      </c>
    </row>
    <row r="91" spans="1:3" x14ac:dyDescent="0.35">
      <c r="A91" t="s">
        <v>333</v>
      </c>
      <c r="B91" t="str">
        <f t="shared" si="1"/>
        <v>Korea (Democratic People's Rep. of)</v>
      </c>
      <c r="C91">
        <v>0</v>
      </c>
    </row>
    <row r="92" spans="1:3" x14ac:dyDescent="0.35">
      <c r="A92" t="s">
        <v>440</v>
      </c>
      <c r="B92" t="str">
        <f t="shared" si="1"/>
        <v>Korea (Republic of)</v>
      </c>
      <c r="C92">
        <v>95.9</v>
      </c>
    </row>
    <row r="93" spans="1:3" x14ac:dyDescent="0.35">
      <c r="A93" t="s">
        <v>334</v>
      </c>
      <c r="B93" t="str">
        <f t="shared" si="1"/>
        <v>Kuwait</v>
      </c>
      <c r="C93">
        <v>99.6</v>
      </c>
    </row>
    <row r="94" spans="1:3" x14ac:dyDescent="0.35">
      <c r="A94" t="s">
        <v>335</v>
      </c>
      <c r="B94" t="str">
        <f t="shared" si="1"/>
        <v>Kyrgyzstan</v>
      </c>
      <c r="C94">
        <v>38</v>
      </c>
    </row>
    <row r="95" spans="1:3" x14ac:dyDescent="0.35">
      <c r="A95" t="s">
        <v>336</v>
      </c>
      <c r="B95" t="str">
        <f t="shared" si="1"/>
        <v>Lao People's Democratic Republic</v>
      </c>
      <c r="C95">
        <v>25.5</v>
      </c>
    </row>
    <row r="96" spans="1:3" x14ac:dyDescent="0.35">
      <c r="A96" t="s">
        <v>337</v>
      </c>
      <c r="B96" t="str">
        <f t="shared" si="1"/>
        <v>Latvia</v>
      </c>
      <c r="C96">
        <v>83.6</v>
      </c>
    </row>
    <row r="97" spans="1:3" x14ac:dyDescent="0.35">
      <c r="A97" t="s">
        <v>338</v>
      </c>
      <c r="B97" t="str">
        <f t="shared" si="1"/>
        <v>Lebanon</v>
      </c>
      <c r="C97">
        <v>78.2</v>
      </c>
    </row>
    <row r="98" spans="1:3" x14ac:dyDescent="0.35">
      <c r="A98" t="s">
        <v>339</v>
      </c>
      <c r="B98" t="str">
        <f t="shared" si="1"/>
        <v>Lesotho</v>
      </c>
      <c r="C98">
        <v>29</v>
      </c>
    </row>
    <row r="99" spans="1:3" x14ac:dyDescent="0.35">
      <c r="A99" t="s">
        <v>340</v>
      </c>
      <c r="B99" t="str">
        <f t="shared" si="1"/>
        <v>Liberia</v>
      </c>
      <c r="C99">
        <v>8</v>
      </c>
    </row>
    <row r="100" spans="1:3" x14ac:dyDescent="0.35">
      <c r="A100" t="s">
        <v>441</v>
      </c>
      <c r="B100" t="str">
        <f t="shared" si="1"/>
        <v>Libya</v>
      </c>
      <c r="C100">
        <v>21.8</v>
      </c>
    </row>
    <row r="101" spans="1:3" x14ac:dyDescent="0.35">
      <c r="A101" t="s">
        <v>443</v>
      </c>
      <c r="B101" t="str">
        <f t="shared" si="1"/>
        <v>Liechtenstein</v>
      </c>
      <c r="C101">
        <v>98.1</v>
      </c>
    </row>
    <row r="102" spans="1:3" x14ac:dyDescent="0.35">
      <c r="A102" t="s">
        <v>341</v>
      </c>
      <c r="B102" t="str">
        <f t="shared" si="1"/>
        <v>Lithuania</v>
      </c>
      <c r="C102">
        <v>79.7</v>
      </c>
    </row>
    <row r="103" spans="1:3" x14ac:dyDescent="0.35">
      <c r="A103" t="s">
        <v>444</v>
      </c>
      <c r="B103" t="str">
        <f t="shared" si="1"/>
        <v>Luxembourg</v>
      </c>
      <c r="C103">
        <v>97.1</v>
      </c>
    </row>
    <row r="104" spans="1:3" x14ac:dyDescent="0.35">
      <c r="A104" t="s">
        <v>342</v>
      </c>
      <c r="B104" t="str">
        <f t="shared" si="1"/>
        <v>Madagascar</v>
      </c>
      <c r="C104">
        <v>9.8000000000000007</v>
      </c>
    </row>
    <row r="105" spans="1:3" x14ac:dyDescent="0.35">
      <c r="A105" t="s">
        <v>343</v>
      </c>
      <c r="B105" t="str">
        <f t="shared" si="1"/>
        <v>Malawi</v>
      </c>
      <c r="C105">
        <v>13.8</v>
      </c>
    </row>
    <row r="106" spans="1:3" x14ac:dyDescent="0.35">
      <c r="A106" t="s">
        <v>344</v>
      </c>
      <c r="B106" t="str">
        <f t="shared" si="1"/>
        <v>Malaysia</v>
      </c>
      <c r="C106">
        <v>81.2</v>
      </c>
    </row>
    <row r="107" spans="1:3" x14ac:dyDescent="0.35">
      <c r="A107" t="s">
        <v>345</v>
      </c>
      <c r="B107" t="str">
        <f t="shared" si="1"/>
        <v>Maldives</v>
      </c>
      <c r="C107">
        <v>63.2</v>
      </c>
    </row>
    <row r="108" spans="1:3" x14ac:dyDescent="0.35">
      <c r="A108" t="s">
        <v>346</v>
      </c>
      <c r="B108" t="str">
        <f t="shared" si="1"/>
        <v>Mali</v>
      </c>
      <c r="C108">
        <v>13</v>
      </c>
    </row>
    <row r="109" spans="1:3" x14ac:dyDescent="0.35">
      <c r="A109" t="s">
        <v>347</v>
      </c>
      <c r="B109" t="str">
        <f t="shared" si="1"/>
        <v>Malta</v>
      </c>
      <c r="C109">
        <v>81.400000000000006</v>
      </c>
    </row>
    <row r="110" spans="1:3" x14ac:dyDescent="0.35">
      <c r="A110" t="s">
        <v>348</v>
      </c>
      <c r="B110" t="str">
        <f t="shared" si="1"/>
        <v>Marshall Islands</v>
      </c>
      <c r="C110">
        <v>38.700000000000003</v>
      </c>
    </row>
    <row r="111" spans="1:3" x14ac:dyDescent="0.35">
      <c r="A111" t="s">
        <v>349</v>
      </c>
      <c r="B111" t="str">
        <f t="shared" si="1"/>
        <v>Mauritania</v>
      </c>
      <c r="C111">
        <v>20.8</v>
      </c>
    </row>
    <row r="112" spans="1:3" x14ac:dyDescent="0.35">
      <c r="A112" t="s">
        <v>350</v>
      </c>
      <c r="B112" t="str">
        <f t="shared" si="1"/>
        <v>Mauritius</v>
      </c>
      <c r="C112">
        <v>58.6</v>
      </c>
    </row>
    <row r="113" spans="1:3" x14ac:dyDescent="0.35">
      <c r="A113" t="s">
        <v>351</v>
      </c>
      <c r="B113" t="str">
        <f t="shared" si="1"/>
        <v>Mexico</v>
      </c>
      <c r="C113">
        <v>65.8</v>
      </c>
    </row>
    <row r="114" spans="1:3" x14ac:dyDescent="0.35">
      <c r="A114" t="s">
        <v>431</v>
      </c>
      <c r="B114" t="str">
        <f t="shared" si="1"/>
        <v>Micronesia (Federated States of)</v>
      </c>
      <c r="C114">
        <v>35.299999999999997</v>
      </c>
    </row>
    <row r="115" spans="1:3" x14ac:dyDescent="0.35">
      <c r="A115" t="s">
        <v>352</v>
      </c>
      <c r="B115" t="str">
        <f t="shared" si="1"/>
        <v>Moldova (Republic of)</v>
      </c>
      <c r="C115">
        <v>76.099999999999994</v>
      </c>
    </row>
    <row r="116" spans="1:3" x14ac:dyDescent="0.35">
      <c r="A116" t="s">
        <v>477</v>
      </c>
      <c r="B116" t="str">
        <f t="shared" si="1"/>
        <v>Monaco</v>
      </c>
      <c r="C116">
        <v>97.1</v>
      </c>
    </row>
    <row r="117" spans="1:3" x14ac:dyDescent="0.35">
      <c r="A117" t="s">
        <v>353</v>
      </c>
      <c r="B117" t="str">
        <f t="shared" si="1"/>
        <v>Mongolia</v>
      </c>
      <c r="C117">
        <v>23.7</v>
      </c>
    </row>
    <row r="118" spans="1:3" x14ac:dyDescent="0.35">
      <c r="A118" t="s">
        <v>354</v>
      </c>
      <c r="B118" t="str">
        <f t="shared" si="1"/>
        <v>Montenegro</v>
      </c>
      <c r="C118">
        <v>71.5</v>
      </c>
    </row>
    <row r="119" spans="1:3" x14ac:dyDescent="0.35">
      <c r="A119" t="s">
        <v>355</v>
      </c>
      <c r="B119" t="str">
        <f t="shared" si="1"/>
        <v>Morocco</v>
      </c>
      <c r="C119">
        <v>64.8</v>
      </c>
    </row>
    <row r="120" spans="1:3" x14ac:dyDescent="0.35">
      <c r="A120" t="s">
        <v>356</v>
      </c>
      <c r="B120" t="str">
        <f t="shared" si="1"/>
        <v>Mozambique</v>
      </c>
      <c r="C120">
        <v>10</v>
      </c>
    </row>
    <row r="121" spans="1:3" x14ac:dyDescent="0.35">
      <c r="A121" t="s">
        <v>357</v>
      </c>
      <c r="B121" t="str">
        <f t="shared" si="1"/>
        <v>Myanmar</v>
      </c>
      <c r="C121">
        <v>30.7</v>
      </c>
    </row>
    <row r="122" spans="1:3" x14ac:dyDescent="0.35">
      <c r="A122" t="s">
        <v>358</v>
      </c>
      <c r="B122" t="str">
        <f t="shared" si="1"/>
        <v>Namibia</v>
      </c>
      <c r="C122">
        <v>51</v>
      </c>
    </row>
    <row r="123" spans="1:3" x14ac:dyDescent="0.35">
      <c r="A123" t="s">
        <v>478</v>
      </c>
      <c r="B123" t="str">
        <f t="shared" si="1"/>
        <v>Nauru</v>
      </c>
      <c r="C123">
        <v>57</v>
      </c>
    </row>
    <row r="124" spans="1:3" x14ac:dyDescent="0.35">
      <c r="A124" t="s">
        <v>359</v>
      </c>
      <c r="B124" t="str">
        <f t="shared" si="1"/>
        <v>Nepal</v>
      </c>
      <c r="C124">
        <v>34</v>
      </c>
    </row>
    <row r="125" spans="1:3" x14ac:dyDescent="0.35">
      <c r="A125" t="s">
        <v>445</v>
      </c>
      <c r="B125" t="str">
        <f t="shared" si="1"/>
        <v>Netherlands</v>
      </c>
      <c r="C125">
        <v>94.7</v>
      </c>
    </row>
    <row r="126" spans="1:3" x14ac:dyDescent="0.35">
      <c r="A126" t="s">
        <v>447</v>
      </c>
      <c r="B126" t="str">
        <f t="shared" si="1"/>
        <v>New Zealand</v>
      </c>
      <c r="C126">
        <v>90.8</v>
      </c>
    </row>
    <row r="127" spans="1:3" x14ac:dyDescent="0.35">
      <c r="A127" t="s">
        <v>360</v>
      </c>
      <c r="B127" t="str">
        <f t="shared" si="1"/>
        <v>Nicaragua</v>
      </c>
      <c r="C127">
        <v>27.9</v>
      </c>
    </row>
    <row r="128" spans="1:3" x14ac:dyDescent="0.35">
      <c r="A128" t="s">
        <v>361</v>
      </c>
      <c r="B128" t="str">
        <f t="shared" si="1"/>
        <v>Niger</v>
      </c>
      <c r="C128">
        <v>5.3</v>
      </c>
    </row>
    <row r="129" spans="1:3" x14ac:dyDescent="0.35">
      <c r="A129" t="s">
        <v>362</v>
      </c>
      <c r="B129" t="str">
        <f t="shared" si="1"/>
        <v>Nigeria</v>
      </c>
      <c r="C129">
        <v>42</v>
      </c>
    </row>
    <row r="130" spans="1:3" x14ac:dyDescent="0.35">
      <c r="A130" t="s">
        <v>363</v>
      </c>
      <c r="B130" t="str">
        <f t="shared" ref="B130:B193" si="2">TRIM(A130)</f>
        <v>North Macedonia</v>
      </c>
      <c r="C130">
        <v>79.2</v>
      </c>
    </row>
    <row r="131" spans="1:3" x14ac:dyDescent="0.35">
      <c r="A131" t="s">
        <v>446</v>
      </c>
      <c r="B131" t="str">
        <f t="shared" si="2"/>
        <v>Norway</v>
      </c>
      <c r="C131">
        <v>96.5</v>
      </c>
    </row>
    <row r="132" spans="1:3" x14ac:dyDescent="0.35">
      <c r="A132" t="s">
        <v>364</v>
      </c>
      <c r="B132" t="str">
        <f t="shared" si="2"/>
        <v>Oman</v>
      </c>
      <c r="C132">
        <v>80.2</v>
      </c>
    </row>
    <row r="133" spans="1:3" x14ac:dyDescent="0.35">
      <c r="A133" t="s">
        <v>365</v>
      </c>
      <c r="B133" t="str">
        <f t="shared" si="2"/>
        <v>Pakistan</v>
      </c>
      <c r="C133">
        <v>15.5</v>
      </c>
    </row>
    <row r="134" spans="1:3" x14ac:dyDescent="0.35">
      <c r="A134" t="s">
        <v>366</v>
      </c>
      <c r="B134" t="str">
        <f t="shared" si="2"/>
        <v>Palau</v>
      </c>
      <c r="C134" t="s">
        <v>471</v>
      </c>
    </row>
    <row r="135" spans="1:3" x14ac:dyDescent="0.35">
      <c r="A135" t="s">
        <v>367</v>
      </c>
      <c r="B135" t="str">
        <f t="shared" si="2"/>
        <v>Palestine, State of</v>
      </c>
      <c r="C135">
        <v>64.400000000000006</v>
      </c>
    </row>
    <row r="136" spans="1:3" x14ac:dyDescent="0.35">
      <c r="A136" t="s">
        <v>368</v>
      </c>
      <c r="B136" t="str">
        <f t="shared" si="2"/>
        <v>Panama</v>
      </c>
      <c r="C136">
        <v>57.9</v>
      </c>
    </row>
    <row r="137" spans="1:3" x14ac:dyDescent="0.35">
      <c r="A137" t="s">
        <v>369</v>
      </c>
      <c r="B137" t="str">
        <f t="shared" si="2"/>
        <v>Papua New Guinea</v>
      </c>
      <c r="C137">
        <v>11.2</v>
      </c>
    </row>
    <row r="138" spans="1:3" x14ac:dyDescent="0.35">
      <c r="A138" t="s">
        <v>370</v>
      </c>
      <c r="B138" t="str">
        <f t="shared" si="2"/>
        <v>Paraguay</v>
      </c>
      <c r="C138">
        <v>65</v>
      </c>
    </row>
    <row r="139" spans="1:3" x14ac:dyDescent="0.35">
      <c r="A139" t="s">
        <v>371</v>
      </c>
      <c r="B139" t="str">
        <f t="shared" si="2"/>
        <v>Peru</v>
      </c>
      <c r="C139">
        <v>52.5</v>
      </c>
    </row>
    <row r="140" spans="1:3" x14ac:dyDescent="0.35">
      <c r="A140" t="s">
        <v>372</v>
      </c>
      <c r="B140" t="str">
        <f t="shared" si="2"/>
        <v>Philippines</v>
      </c>
      <c r="C140">
        <v>60.1</v>
      </c>
    </row>
    <row r="141" spans="1:3" x14ac:dyDescent="0.35">
      <c r="A141" t="s">
        <v>373</v>
      </c>
      <c r="B141" t="str">
        <f t="shared" si="2"/>
        <v>Poland</v>
      </c>
      <c r="C141">
        <v>77.5</v>
      </c>
    </row>
    <row r="142" spans="1:3" x14ac:dyDescent="0.35">
      <c r="A142" t="s">
        <v>374</v>
      </c>
      <c r="B142" t="str">
        <f t="shared" si="2"/>
        <v>Portugal</v>
      </c>
      <c r="C142">
        <v>74.7</v>
      </c>
    </row>
    <row r="143" spans="1:3" x14ac:dyDescent="0.35">
      <c r="A143" t="s">
        <v>375</v>
      </c>
      <c r="B143" t="str">
        <f t="shared" si="2"/>
        <v>Qatar</v>
      </c>
      <c r="C143">
        <v>99.7</v>
      </c>
    </row>
    <row r="144" spans="1:3" x14ac:dyDescent="0.35">
      <c r="A144" t="s">
        <v>376</v>
      </c>
      <c r="B144" t="str">
        <f t="shared" si="2"/>
        <v>Romania</v>
      </c>
      <c r="C144">
        <v>70.7</v>
      </c>
    </row>
    <row r="145" spans="1:3" x14ac:dyDescent="0.35">
      <c r="A145" t="s">
        <v>377</v>
      </c>
      <c r="B145" t="str">
        <f t="shared" si="2"/>
        <v>Russian Federation</v>
      </c>
      <c r="C145">
        <v>80.900000000000006</v>
      </c>
    </row>
    <row r="146" spans="1:3" x14ac:dyDescent="0.35">
      <c r="A146" t="s">
        <v>378</v>
      </c>
      <c r="B146" t="str">
        <f t="shared" si="2"/>
        <v>Rwanda</v>
      </c>
      <c r="C146">
        <v>21.8</v>
      </c>
    </row>
    <row r="147" spans="1:3" x14ac:dyDescent="0.35">
      <c r="A147" t="s">
        <v>439</v>
      </c>
      <c r="B147" t="str">
        <f t="shared" si="2"/>
        <v>Saint Kitts and Nevis</v>
      </c>
      <c r="C147">
        <v>80.7</v>
      </c>
    </row>
    <row r="148" spans="1:3" x14ac:dyDescent="0.35">
      <c r="A148" t="s">
        <v>442</v>
      </c>
      <c r="B148" t="str">
        <f t="shared" si="2"/>
        <v>Saint Lucia</v>
      </c>
      <c r="C148">
        <v>50.8</v>
      </c>
    </row>
    <row r="149" spans="1:3" x14ac:dyDescent="0.35">
      <c r="A149" t="s">
        <v>452</v>
      </c>
      <c r="B149" t="str">
        <f t="shared" si="2"/>
        <v>Saint Vincent and the Grenadines</v>
      </c>
      <c r="C149">
        <v>22.4</v>
      </c>
    </row>
    <row r="150" spans="1:3" x14ac:dyDescent="0.35">
      <c r="A150" t="s">
        <v>379</v>
      </c>
      <c r="B150" t="str">
        <f t="shared" si="2"/>
        <v>Samoa</v>
      </c>
      <c r="C150">
        <v>33.6</v>
      </c>
    </row>
    <row r="151" spans="1:3" x14ac:dyDescent="0.35">
      <c r="A151" t="s">
        <v>380</v>
      </c>
      <c r="B151" t="str">
        <f t="shared" si="2"/>
        <v>San Marino</v>
      </c>
      <c r="C151">
        <v>60.2</v>
      </c>
    </row>
    <row r="152" spans="1:3" x14ac:dyDescent="0.35">
      <c r="A152" t="s">
        <v>381</v>
      </c>
      <c r="B152" t="str">
        <f t="shared" si="2"/>
        <v>Sao Tome and Principe</v>
      </c>
      <c r="C152">
        <v>29.9</v>
      </c>
    </row>
    <row r="153" spans="1:3" x14ac:dyDescent="0.35">
      <c r="A153" t="s">
        <v>382</v>
      </c>
      <c r="B153" t="str">
        <f t="shared" si="2"/>
        <v>Saudi Arabia</v>
      </c>
      <c r="C153">
        <v>93.3</v>
      </c>
    </row>
    <row r="154" spans="1:3" x14ac:dyDescent="0.35">
      <c r="A154" t="s">
        <v>383</v>
      </c>
      <c r="B154" t="str">
        <f t="shared" si="2"/>
        <v>Senegal</v>
      </c>
      <c r="C154">
        <v>46</v>
      </c>
    </row>
    <row r="155" spans="1:3" x14ac:dyDescent="0.35">
      <c r="A155" t="s">
        <v>384</v>
      </c>
      <c r="B155" t="str">
        <f t="shared" si="2"/>
        <v>Serbia</v>
      </c>
      <c r="C155">
        <v>73.400000000000006</v>
      </c>
    </row>
    <row r="156" spans="1:3" x14ac:dyDescent="0.35">
      <c r="A156" t="s">
        <v>385</v>
      </c>
      <c r="B156" t="str">
        <f t="shared" si="2"/>
        <v>Seychelles</v>
      </c>
      <c r="C156">
        <v>58.8</v>
      </c>
    </row>
    <row r="157" spans="1:3" x14ac:dyDescent="0.35">
      <c r="A157" t="s">
        <v>386</v>
      </c>
      <c r="B157" t="str">
        <f t="shared" si="2"/>
        <v>Sierra Leone</v>
      </c>
      <c r="C157">
        <v>9</v>
      </c>
    </row>
    <row r="158" spans="1:3" x14ac:dyDescent="0.35">
      <c r="A158" t="s">
        <v>387</v>
      </c>
      <c r="B158" t="str">
        <f t="shared" si="2"/>
        <v>Singapore</v>
      </c>
      <c r="C158">
        <v>88.2</v>
      </c>
    </row>
    <row r="159" spans="1:3" x14ac:dyDescent="0.35">
      <c r="A159" t="s">
        <v>448</v>
      </c>
      <c r="B159" t="str">
        <f t="shared" si="2"/>
        <v>Slovakia</v>
      </c>
      <c r="C159">
        <v>80.7</v>
      </c>
    </row>
    <row r="160" spans="1:3" x14ac:dyDescent="0.35">
      <c r="A160" t="s">
        <v>388</v>
      </c>
      <c r="B160" t="str">
        <f t="shared" si="2"/>
        <v>Slovenia</v>
      </c>
      <c r="C160">
        <v>79.8</v>
      </c>
    </row>
    <row r="161" spans="1:3" x14ac:dyDescent="0.35">
      <c r="A161" t="s">
        <v>389</v>
      </c>
      <c r="B161" t="str">
        <f t="shared" si="2"/>
        <v>Solomon Islands</v>
      </c>
      <c r="C161">
        <v>11.9</v>
      </c>
    </row>
    <row r="162" spans="1:3" x14ac:dyDescent="0.35">
      <c r="A162" t="s">
        <v>476</v>
      </c>
      <c r="B162" t="str">
        <f t="shared" si="2"/>
        <v>Somalia</v>
      </c>
      <c r="C162">
        <v>2</v>
      </c>
    </row>
    <row r="163" spans="1:3" x14ac:dyDescent="0.35">
      <c r="A163" t="s">
        <v>390</v>
      </c>
      <c r="B163" t="str">
        <f t="shared" si="2"/>
        <v>South Africa</v>
      </c>
      <c r="C163">
        <v>56.2</v>
      </c>
    </row>
    <row r="164" spans="1:3" x14ac:dyDescent="0.35">
      <c r="A164" t="s">
        <v>391</v>
      </c>
      <c r="B164" t="str">
        <f t="shared" si="2"/>
        <v>South Sudan</v>
      </c>
      <c r="C164">
        <v>8</v>
      </c>
    </row>
    <row r="165" spans="1:3" x14ac:dyDescent="0.35">
      <c r="A165" t="s">
        <v>392</v>
      </c>
      <c r="B165" t="str">
        <f t="shared" si="2"/>
        <v>Spain</v>
      </c>
      <c r="C165">
        <v>86.1</v>
      </c>
    </row>
    <row r="166" spans="1:3" x14ac:dyDescent="0.35">
      <c r="A166" t="s">
        <v>393</v>
      </c>
      <c r="B166" t="str">
        <f t="shared" si="2"/>
        <v>Sri Lanka</v>
      </c>
      <c r="C166">
        <v>34.1</v>
      </c>
    </row>
    <row r="167" spans="1:3" x14ac:dyDescent="0.35">
      <c r="A167" t="s">
        <v>394</v>
      </c>
      <c r="B167" t="str">
        <f t="shared" si="2"/>
        <v>Sudan</v>
      </c>
      <c r="C167">
        <v>30.9</v>
      </c>
    </row>
    <row r="168" spans="1:3" x14ac:dyDescent="0.35">
      <c r="A168" t="s">
        <v>395</v>
      </c>
      <c r="B168" t="str">
        <f t="shared" si="2"/>
        <v>Suriname</v>
      </c>
      <c r="C168">
        <v>48.9</v>
      </c>
    </row>
    <row r="169" spans="1:3" x14ac:dyDescent="0.35">
      <c r="A169" t="s">
        <v>449</v>
      </c>
      <c r="B169" t="str">
        <f t="shared" si="2"/>
        <v>Sweden</v>
      </c>
      <c r="C169">
        <v>92.1</v>
      </c>
    </row>
    <row r="170" spans="1:3" x14ac:dyDescent="0.35">
      <c r="A170" t="s">
        <v>423</v>
      </c>
      <c r="B170" t="str">
        <f t="shared" si="2"/>
        <v>Switzerland</v>
      </c>
      <c r="C170">
        <v>89.7</v>
      </c>
    </row>
    <row r="171" spans="1:3" x14ac:dyDescent="0.35">
      <c r="A171" t="s">
        <v>450</v>
      </c>
      <c r="B171" t="str">
        <f t="shared" si="2"/>
        <v>Syrian Arab Republic</v>
      </c>
      <c r="C171">
        <v>34.299999999999997</v>
      </c>
    </row>
    <row r="172" spans="1:3" x14ac:dyDescent="0.35">
      <c r="A172" t="s">
        <v>396</v>
      </c>
      <c r="B172" t="str">
        <f t="shared" si="2"/>
        <v>Tajikistan</v>
      </c>
      <c r="C172">
        <v>22</v>
      </c>
    </row>
    <row r="173" spans="1:3" x14ac:dyDescent="0.35">
      <c r="A173" t="s">
        <v>397</v>
      </c>
      <c r="B173" t="str">
        <f t="shared" si="2"/>
        <v>Tanzania (United Republic of)</v>
      </c>
      <c r="C173">
        <v>25</v>
      </c>
    </row>
    <row r="174" spans="1:3" x14ac:dyDescent="0.35">
      <c r="A174" t="s">
        <v>398</v>
      </c>
      <c r="B174" t="str">
        <f t="shared" si="2"/>
        <v>Thailand</v>
      </c>
      <c r="C174">
        <v>56.8</v>
      </c>
    </row>
    <row r="175" spans="1:3" x14ac:dyDescent="0.35">
      <c r="A175" t="s">
        <v>399</v>
      </c>
      <c r="B175" t="str">
        <f t="shared" si="2"/>
        <v>Timor-Leste</v>
      </c>
      <c r="C175">
        <v>27.5</v>
      </c>
    </row>
    <row r="176" spans="1:3" x14ac:dyDescent="0.35">
      <c r="A176" t="s">
        <v>400</v>
      </c>
      <c r="B176" t="str">
        <f t="shared" si="2"/>
        <v>Togo</v>
      </c>
      <c r="C176">
        <v>12.4</v>
      </c>
    </row>
    <row r="177" spans="1:3" x14ac:dyDescent="0.35">
      <c r="A177" t="s">
        <v>401</v>
      </c>
      <c r="B177" t="str">
        <f t="shared" si="2"/>
        <v>Tonga</v>
      </c>
      <c r="C177">
        <v>41.2</v>
      </c>
    </row>
    <row r="178" spans="1:3" x14ac:dyDescent="0.35">
      <c r="A178" t="s">
        <v>402</v>
      </c>
      <c r="B178" t="str">
        <f t="shared" si="2"/>
        <v>Trinidad and Tobago</v>
      </c>
      <c r="C178">
        <v>77.3</v>
      </c>
    </row>
    <row r="179" spans="1:3" x14ac:dyDescent="0.35">
      <c r="A179" t="s">
        <v>403</v>
      </c>
      <c r="B179" t="str">
        <f t="shared" si="2"/>
        <v>Tunisia</v>
      </c>
      <c r="C179">
        <v>64.2</v>
      </c>
    </row>
    <row r="180" spans="1:3" x14ac:dyDescent="0.35">
      <c r="A180" t="s">
        <v>404</v>
      </c>
      <c r="B180" t="str">
        <f t="shared" si="2"/>
        <v>Turkey</v>
      </c>
      <c r="C180">
        <v>71</v>
      </c>
    </row>
    <row r="181" spans="1:3" x14ac:dyDescent="0.35">
      <c r="A181" t="s">
        <v>405</v>
      </c>
      <c r="B181" t="str">
        <f t="shared" si="2"/>
        <v>Turkmenistan</v>
      </c>
      <c r="C181">
        <v>21.3</v>
      </c>
    </row>
    <row r="182" spans="1:3" x14ac:dyDescent="0.35">
      <c r="A182" t="s">
        <v>479</v>
      </c>
      <c r="B182" t="str">
        <f t="shared" si="2"/>
        <v>Tuvalu</v>
      </c>
      <c r="C182">
        <v>49.3</v>
      </c>
    </row>
    <row r="183" spans="1:3" x14ac:dyDescent="0.35">
      <c r="A183" t="s">
        <v>406</v>
      </c>
      <c r="B183" t="str">
        <f t="shared" si="2"/>
        <v>Uganda</v>
      </c>
      <c r="C183">
        <v>23.7</v>
      </c>
    </row>
    <row r="184" spans="1:3" x14ac:dyDescent="0.35">
      <c r="A184" t="s">
        <v>407</v>
      </c>
      <c r="B184" t="str">
        <f t="shared" si="2"/>
        <v>Ukraine</v>
      </c>
      <c r="C184">
        <v>58.9</v>
      </c>
    </row>
    <row r="185" spans="1:3" x14ac:dyDescent="0.35">
      <c r="A185" t="s">
        <v>408</v>
      </c>
      <c r="B185" t="str">
        <f t="shared" si="2"/>
        <v>United Arab Emirates</v>
      </c>
      <c r="C185">
        <v>98.5</v>
      </c>
    </row>
    <row r="186" spans="1:3" x14ac:dyDescent="0.35">
      <c r="A186" t="s">
        <v>25</v>
      </c>
      <c r="B186" t="str">
        <f t="shared" si="2"/>
        <v>The United Kingdom</v>
      </c>
      <c r="C186">
        <v>94.9</v>
      </c>
    </row>
    <row r="187" spans="1:3" x14ac:dyDescent="0.35">
      <c r="A187" t="s">
        <v>472</v>
      </c>
      <c r="B187" t="str">
        <f t="shared" si="2"/>
        <v>United States of America</v>
      </c>
      <c r="C187">
        <v>87.3</v>
      </c>
    </row>
    <row r="188" spans="1:3" x14ac:dyDescent="0.35">
      <c r="A188" t="s">
        <v>409</v>
      </c>
      <c r="B188" t="str">
        <f t="shared" si="2"/>
        <v>Uruguay</v>
      </c>
      <c r="C188">
        <v>68.3</v>
      </c>
    </row>
    <row r="189" spans="1:3" x14ac:dyDescent="0.35">
      <c r="A189" t="s">
        <v>410</v>
      </c>
      <c r="B189" t="str">
        <f t="shared" si="2"/>
        <v>Uzbekistan</v>
      </c>
      <c r="C189">
        <v>52.3</v>
      </c>
    </row>
    <row r="190" spans="1:3" x14ac:dyDescent="0.35">
      <c r="A190" t="s">
        <v>411</v>
      </c>
      <c r="B190" t="str">
        <f t="shared" si="2"/>
        <v>Vanuatu</v>
      </c>
      <c r="C190">
        <v>25.7</v>
      </c>
    </row>
    <row r="191" spans="1:3" x14ac:dyDescent="0.35">
      <c r="A191" t="s">
        <v>412</v>
      </c>
      <c r="B191" t="str">
        <f t="shared" si="2"/>
        <v>Venezuela (Bolivarian Republic of)</v>
      </c>
      <c r="C191">
        <v>72</v>
      </c>
    </row>
    <row r="192" spans="1:3" x14ac:dyDescent="0.35">
      <c r="A192" t="s">
        <v>413</v>
      </c>
      <c r="B192" t="str">
        <f t="shared" si="2"/>
        <v>Viet Nam</v>
      </c>
      <c r="C192">
        <v>70.3</v>
      </c>
    </row>
    <row r="193" spans="1:3" x14ac:dyDescent="0.35">
      <c r="A193" t="s">
        <v>453</v>
      </c>
      <c r="B193" t="str">
        <f t="shared" si="2"/>
        <v>Yemen</v>
      </c>
      <c r="C193">
        <v>26.7</v>
      </c>
    </row>
    <row r="194" spans="1:3" x14ac:dyDescent="0.35">
      <c r="A194" t="s">
        <v>414</v>
      </c>
      <c r="B194" t="str">
        <f t="shared" ref="B194:B212" si="3">TRIM(A194)</f>
        <v>Zambia</v>
      </c>
      <c r="C194">
        <v>14.3</v>
      </c>
    </row>
    <row r="195" spans="1:3" x14ac:dyDescent="0.35">
      <c r="A195" t="s">
        <v>415</v>
      </c>
      <c r="B195" t="str">
        <f t="shared" si="3"/>
        <v>Zimbabwe</v>
      </c>
      <c r="C195">
        <v>27.1</v>
      </c>
    </row>
    <row r="196" spans="1:3" x14ac:dyDescent="0.35">
      <c r="A196" t="s">
        <v>454</v>
      </c>
      <c r="B196" t="str">
        <f t="shared" si="3"/>
        <v>Human Development</v>
      </c>
      <c r="C196" t="s">
        <v>471</v>
      </c>
    </row>
    <row r="197" spans="1:3" x14ac:dyDescent="0.35">
      <c r="A197" t="s">
        <v>455</v>
      </c>
      <c r="B197" t="str">
        <f t="shared" si="3"/>
        <v>Very high human development</v>
      </c>
      <c r="C197">
        <v>84.1</v>
      </c>
    </row>
    <row r="198" spans="1:3" x14ac:dyDescent="0.35">
      <c r="A198" t="s">
        <v>456</v>
      </c>
      <c r="B198" t="str">
        <f t="shared" si="3"/>
        <v>High human development</v>
      </c>
      <c r="C198">
        <v>55.9</v>
      </c>
    </row>
    <row r="199" spans="1:3" x14ac:dyDescent="0.35">
      <c r="A199" t="s">
        <v>457</v>
      </c>
      <c r="B199" t="str">
        <f t="shared" si="3"/>
        <v>Medium human development</v>
      </c>
      <c r="C199">
        <v>30.9</v>
      </c>
    </row>
    <row r="200" spans="1:3" x14ac:dyDescent="0.35">
      <c r="A200" t="s">
        <v>458</v>
      </c>
      <c r="B200" t="str">
        <f t="shared" si="3"/>
        <v>Low human development</v>
      </c>
      <c r="C200">
        <v>23.6</v>
      </c>
    </row>
    <row r="201" spans="1:3" x14ac:dyDescent="0.35">
      <c r="A201" t="s">
        <v>459</v>
      </c>
      <c r="B201" t="str">
        <f t="shared" si="3"/>
        <v>Developing Countries</v>
      </c>
      <c r="C201">
        <v>43.4</v>
      </c>
    </row>
    <row r="202" spans="1:3" x14ac:dyDescent="0.35">
      <c r="A202" t="s">
        <v>460</v>
      </c>
      <c r="B202" t="str">
        <f t="shared" si="3"/>
        <v>Regions</v>
      </c>
      <c r="C202" t="s">
        <v>471</v>
      </c>
    </row>
    <row r="203" spans="1:3" x14ac:dyDescent="0.35">
      <c r="A203" t="s">
        <v>461</v>
      </c>
      <c r="B203" t="str">
        <f t="shared" si="3"/>
        <v>Arab States</v>
      </c>
      <c r="C203">
        <v>52.5</v>
      </c>
    </row>
    <row r="204" spans="1:3" x14ac:dyDescent="0.35">
      <c r="A204" t="s">
        <v>462</v>
      </c>
      <c r="B204" t="str">
        <f t="shared" si="3"/>
        <v>East Asia and the Pacific</v>
      </c>
      <c r="C204">
        <v>52.3</v>
      </c>
    </row>
    <row r="205" spans="1:3" x14ac:dyDescent="0.35">
      <c r="A205" t="s">
        <v>463</v>
      </c>
      <c r="B205" t="str">
        <f t="shared" si="3"/>
        <v>Europe and Central Asia</v>
      </c>
      <c r="C205">
        <v>63.8</v>
      </c>
    </row>
    <row r="206" spans="1:3" x14ac:dyDescent="0.35">
      <c r="A206" t="s">
        <v>464</v>
      </c>
      <c r="B206" t="str">
        <f t="shared" si="3"/>
        <v>Latin America and the Caribbean</v>
      </c>
      <c r="C206">
        <v>64.2</v>
      </c>
    </row>
    <row r="207" spans="1:3" x14ac:dyDescent="0.35">
      <c r="A207" t="s">
        <v>465</v>
      </c>
      <c r="B207" t="str">
        <f t="shared" si="3"/>
        <v>South Asia</v>
      </c>
      <c r="C207">
        <v>31.8</v>
      </c>
    </row>
    <row r="208" spans="1:3" x14ac:dyDescent="0.35">
      <c r="A208" t="s">
        <v>466</v>
      </c>
      <c r="B208" t="str">
        <f t="shared" si="3"/>
        <v>Sub-Saharan Africa</v>
      </c>
      <c r="C208">
        <v>25.2</v>
      </c>
    </row>
    <row r="209" spans="1:3" x14ac:dyDescent="0.35">
      <c r="A209" t="s">
        <v>467</v>
      </c>
      <c r="B209" t="str">
        <f t="shared" si="3"/>
        <v>Least Developed Countries</v>
      </c>
      <c r="C209">
        <v>18.2</v>
      </c>
    </row>
    <row r="210" spans="1:3" x14ac:dyDescent="0.35">
      <c r="A210" t="s">
        <v>468</v>
      </c>
      <c r="B210" t="str">
        <f t="shared" si="3"/>
        <v>Small Island Developing States</v>
      </c>
      <c r="C210">
        <v>50</v>
      </c>
    </row>
    <row r="211" spans="1:3" x14ac:dyDescent="0.35">
      <c r="A211" t="s">
        <v>469</v>
      </c>
      <c r="B211" t="str">
        <f t="shared" si="3"/>
        <v>Organization for Economic Co-operation and Development</v>
      </c>
      <c r="C211">
        <v>82.6</v>
      </c>
    </row>
    <row r="212" spans="1:3" x14ac:dyDescent="0.35">
      <c r="A212" t="s">
        <v>470</v>
      </c>
      <c r="B212" t="str">
        <f t="shared" si="3"/>
        <v>World</v>
      </c>
      <c r="C212">
        <v>50.3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8"/>
  <sheetViews>
    <sheetView topLeftCell="A172" workbookViewId="0">
      <selection activeCell="A183" sqref="A183"/>
    </sheetView>
  </sheetViews>
  <sheetFormatPr defaultRowHeight="14.5" x14ac:dyDescent="0.35"/>
  <cols>
    <col min="1" max="1" width="58.08984375" customWidth="1"/>
    <col min="2" max="2" width="52.26953125" customWidth="1"/>
  </cols>
  <sheetData>
    <row r="1" spans="1:3" x14ac:dyDescent="0.35">
      <c r="A1" t="s">
        <v>263</v>
      </c>
      <c r="B1" t="str">
        <f>TRIM(A1)</f>
        <v>Afghanistan</v>
      </c>
      <c r="C1">
        <v>0.69</v>
      </c>
    </row>
    <row r="2" spans="1:3" x14ac:dyDescent="0.35">
      <c r="A2" t="s">
        <v>264</v>
      </c>
      <c r="B2" t="str">
        <f t="shared" ref="B2:B65" si="0">TRIM(A2)</f>
        <v>Albania</v>
      </c>
      <c r="C2">
        <v>0.90100000000000002</v>
      </c>
    </row>
    <row r="3" spans="1:3" x14ac:dyDescent="0.35">
      <c r="A3" t="s">
        <v>265</v>
      </c>
      <c r="B3" t="str">
        <f t="shared" si="0"/>
        <v>Algeria</v>
      </c>
      <c r="C3">
        <v>0.875</v>
      </c>
    </row>
    <row r="4" spans="1:3" x14ac:dyDescent="0.35">
      <c r="A4" t="s">
        <v>416</v>
      </c>
      <c r="B4" t="str">
        <f t="shared" si="0"/>
        <v>Andorra</v>
      </c>
      <c r="C4">
        <v>0.95199999999999996</v>
      </c>
    </row>
    <row r="5" spans="1:3" x14ac:dyDescent="0.35">
      <c r="A5" t="s">
        <v>266</v>
      </c>
      <c r="B5" t="str">
        <f t="shared" si="0"/>
        <v>Angola</v>
      </c>
      <c r="C5">
        <v>0.63300000000000001</v>
      </c>
    </row>
    <row r="6" spans="1:3" x14ac:dyDescent="0.35">
      <c r="A6" t="s">
        <v>267</v>
      </c>
      <c r="B6" t="str">
        <f t="shared" si="0"/>
        <v>Antigua and Barbuda</v>
      </c>
      <c r="C6">
        <v>0.877</v>
      </c>
    </row>
    <row r="7" spans="1:3" x14ac:dyDescent="0.35">
      <c r="A7" t="s">
        <v>268</v>
      </c>
      <c r="B7" t="str">
        <f t="shared" si="0"/>
        <v>Argentina</v>
      </c>
      <c r="C7">
        <v>0.872</v>
      </c>
    </row>
    <row r="8" spans="1:3" x14ac:dyDescent="0.35">
      <c r="A8" t="s">
        <v>269</v>
      </c>
      <c r="B8" t="str">
        <f t="shared" si="0"/>
        <v>Armenia</v>
      </c>
      <c r="C8">
        <v>0.84799999999999998</v>
      </c>
    </row>
    <row r="9" spans="1:3" x14ac:dyDescent="0.35">
      <c r="A9" t="s">
        <v>417</v>
      </c>
      <c r="B9" t="str">
        <f t="shared" si="0"/>
        <v>Australia</v>
      </c>
      <c r="C9">
        <v>0.97599999999999998</v>
      </c>
    </row>
    <row r="10" spans="1:3" x14ac:dyDescent="0.35">
      <c r="A10" t="s">
        <v>418</v>
      </c>
      <c r="B10" t="str">
        <f t="shared" si="0"/>
        <v>Austria</v>
      </c>
      <c r="C10">
        <v>0.94699999999999995</v>
      </c>
    </row>
    <row r="11" spans="1:3" x14ac:dyDescent="0.35">
      <c r="A11" t="s">
        <v>270</v>
      </c>
      <c r="B11" t="str">
        <f t="shared" si="0"/>
        <v>Azerbaijan</v>
      </c>
      <c r="C11">
        <v>0.81599999999999995</v>
      </c>
    </row>
    <row r="12" spans="1:3" x14ac:dyDescent="0.35">
      <c r="A12" t="s">
        <v>420</v>
      </c>
      <c r="B12" t="str">
        <f t="shared" si="0"/>
        <v>Bahamas</v>
      </c>
      <c r="C12">
        <v>0.83</v>
      </c>
    </row>
    <row r="13" spans="1:3" x14ac:dyDescent="0.35">
      <c r="A13" t="s">
        <v>271</v>
      </c>
      <c r="B13" t="str">
        <f t="shared" si="0"/>
        <v>Bahrain</v>
      </c>
      <c r="C13">
        <v>0.88100000000000001</v>
      </c>
    </row>
    <row r="14" spans="1:3" x14ac:dyDescent="0.35">
      <c r="A14" t="s">
        <v>272</v>
      </c>
      <c r="B14" t="str">
        <f t="shared" si="0"/>
        <v>Bangladesh</v>
      </c>
      <c r="C14">
        <v>0.80900000000000005</v>
      </c>
    </row>
    <row r="15" spans="1:3" x14ac:dyDescent="0.35">
      <c r="A15" t="s">
        <v>273</v>
      </c>
      <c r="B15" t="str">
        <f t="shared" si="0"/>
        <v>Barbados</v>
      </c>
      <c r="C15">
        <v>0.91100000000000003</v>
      </c>
    </row>
    <row r="16" spans="1:3" x14ac:dyDescent="0.35">
      <c r="A16" t="s">
        <v>274</v>
      </c>
      <c r="B16" t="str">
        <f t="shared" si="0"/>
        <v>Belarus</v>
      </c>
      <c r="C16">
        <v>0.84299999999999997</v>
      </c>
    </row>
    <row r="17" spans="1:3" x14ac:dyDescent="0.35">
      <c r="A17" t="s">
        <v>419</v>
      </c>
      <c r="B17" t="str">
        <f t="shared" si="0"/>
        <v>Belgium</v>
      </c>
      <c r="C17">
        <v>0.94799999999999995</v>
      </c>
    </row>
    <row r="18" spans="1:3" x14ac:dyDescent="0.35">
      <c r="A18" t="s">
        <v>421</v>
      </c>
      <c r="B18" t="str">
        <f t="shared" si="0"/>
        <v>Belize</v>
      </c>
      <c r="C18">
        <v>0.84</v>
      </c>
    </row>
    <row r="19" spans="1:3" x14ac:dyDescent="0.35">
      <c r="A19" t="s">
        <v>275</v>
      </c>
      <c r="B19" t="str">
        <f t="shared" si="0"/>
        <v>Benin</v>
      </c>
      <c r="C19">
        <v>0.64300000000000002</v>
      </c>
    </row>
    <row r="20" spans="1:3" x14ac:dyDescent="0.35">
      <c r="A20" t="s">
        <v>276</v>
      </c>
      <c r="B20" t="str">
        <f t="shared" si="0"/>
        <v>Bhutan</v>
      </c>
      <c r="C20">
        <v>0.79700000000000004</v>
      </c>
    </row>
    <row r="21" spans="1:3" x14ac:dyDescent="0.35">
      <c r="A21" t="s">
        <v>277</v>
      </c>
      <c r="B21" t="str">
        <f t="shared" si="0"/>
        <v>Bolivia (Plurinational State of)</v>
      </c>
      <c r="C21">
        <v>0.79200000000000004</v>
      </c>
    </row>
    <row r="22" spans="1:3" x14ac:dyDescent="0.35">
      <c r="A22" t="s">
        <v>278</v>
      </c>
      <c r="B22" t="str">
        <f t="shared" si="0"/>
        <v>Bosnia and Herzegovina</v>
      </c>
      <c r="C22">
        <v>0.88300000000000001</v>
      </c>
    </row>
    <row r="23" spans="1:3" x14ac:dyDescent="0.35">
      <c r="A23" t="s">
        <v>279</v>
      </c>
      <c r="B23" t="str">
        <f t="shared" si="0"/>
        <v>Botswana</v>
      </c>
      <c r="C23">
        <v>0.76300000000000001</v>
      </c>
    </row>
    <row r="24" spans="1:3" x14ac:dyDescent="0.35">
      <c r="A24" t="s">
        <v>280</v>
      </c>
      <c r="B24" t="str">
        <f t="shared" si="0"/>
        <v>Brazil</v>
      </c>
      <c r="C24">
        <v>0.86</v>
      </c>
    </row>
    <row r="25" spans="1:3" x14ac:dyDescent="0.35">
      <c r="A25" t="s">
        <v>281</v>
      </c>
      <c r="B25" t="str">
        <f t="shared" si="0"/>
        <v>Brunei Darussalam</v>
      </c>
      <c r="C25">
        <v>0.85899999999999999</v>
      </c>
    </row>
    <row r="26" spans="1:3" x14ac:dyDescent="0.35">
      <c r="A26" t="s">
        <v>282</v>
      </c>
      <c r="B26" t="str">
        <f t="shared" si="0"/>
        <v>Bulgaria</v>
      </c>
      <c r="C26">
        <v>0.84699999999999998</v>
      </c>
    </row>
    <row r="27" spans="1:3" x14ac:dyDescent="0.35">
      <c r="A27" t="s">
        <v>283</v>
      </c>
      <c r="B27" t="str">
        <f t="shared" si="0"/>
        <v>Burkina Faso</v>
      </c>
      <c r="C27">
        <v>0.64</v>
      </c>
    </row>
    <row r="28" spans="1:3" x14ac:dyDescent="0.35">
      <c r="A28" t="s">
        <v>284</v>
      </c>
      <c r="B28" t="str">
        <f t="shared" si="0"/>
        <v>Burundi</v>
      </c>
      <c r="C28">
        <v>0.64</v>
      </c>
    </row>
    <row r="29" spans="1:3" x14ac:dyDescent="0.35">
      <c r="A29" t="s">
        <v>285</v>
      </c>
      <c r="B29" t="str">
        <f t="shared" si="0"/>
        <v>Cabo Verde</v>
      </c>
      <c r="C29">
        <v>0.81499999999999995</v>
      </c>
    </row>
    <row r="30" spans="1:3" x14ac:dyDescent="0.35">
      <c r="A30" t="s">
        <v>286</v>
      </c>
      <c r="B30" t="str">
        <f t="shared" si="0"/>
        <v>Cambodia</v>
      </c>
      <c r="C30">
        <v>0.76600000000000001</v>
      </c>
    </row>
    <row r="31" spans="1:3" x14ac:dyDescent="0.35">
      <c r="A31" t="s">
        <v>287</v>
      </c>
      <c r="B31" t="str">
        <f t="shared" si="0"/>
        <v>Cameroon</v>
      </c>
      <c r="C31">
        <v>0.60399999999999998</v>
      </c>
    </row>
    <row r="32" spans="1:3" x14ac:dyDescent="0.35">
      <c r="A32" t="s">
        <v>422</v>
      </c>
      <c r="B32" t="str">
        <f t="shared" si="0"/>
        <v>Canada</v>
      </c>
      <c r="C32">
        <v>0.96</v>
      </c>
    </row>
    <row r="33" spans="1:3" x14ac:dyDescent="0.35">
      <c r="A33" t="s">
        <v>288</v>
      </c>
      <c r="B33" t="str">
        <f t="shared" si="0"/>
        <v>Central African Republic</v>
      </c>
      <c r="C33">
        <v>0.51200000000000001</v>
      </c>
    </row>
    <row r="34" spans="1:3" x14ac:dyDescent="0.35">
      <c r="A34" t="s">
        <v>289</v>
      </c>
      <c r="B34" t="str">
        <f t="shared" si="0"/>
        <v>Chad</v>
      </c>
      <c r="C34">
        <v>0.52700000000000002</v>
      </c>
    </row>
    <row r="35" spans="1:3" x14ac:dyDescent="0.35">
      <c r="A35" t="s">
        <v>290</v>
      </c>
      <c r="B35" t="str">
        <f t="shared" si="0"/>
        <v>Chile</v>
      </c>
      <c r="C35">
        <v>0.92600000000000005</v>
      </c>
    </row>
    <row r="36" spans="1:3" x14ac:dyDescent="0.35">
      <c r="A36" t="s">
        <v>291</v>
      </c>
      <c r="B36" t="str">
        <f t="shared" si="0"/>
        <v>China</v>
      </c>
      <c r="C36">
        <v>0.876</v>
      </c>
    </row>
    <row r="37" spans="1:3" x14ac:dyDescent="0.35">
      <c r="A37" t="s">
        <v>292</v>
      </c>
      <c r="B37" t="str">
        <f t="shared" si="0"/>
        <v>Colombia</v>
      </c>
      <c r="C37">
        <v>0.88100000000000001</v>
      </c>
    </row>
    <row r="38" spans="1:3" x14ac:dyDescent="0.35">
      <c r="A38" t="s">
        <v>293</v>
      </c>
      <c r="B38" t="str">
        <f t="shared" si="0"/>
        <v>Comoros</v>
      </c>
      <c r="C38">
        <v>0.68200000000000005</v>
      </c>
    </row>
    <row r="39" spans="1:3" x14ac:dyDescent="0.35">
      <c r="A39" t="s">
        <v>294</v>
      </c>
      <c r="B39" t="str">
        <f t="shared" si="0"/>
        <v>Congo</v>
      </c>
      <c r="C39">
        <v>0.68600000000000005</v>
      </c>
    </row>
    <row r="40" spans="1:3" x14ac:dyDescent="0.35">
      <c r="A40" t="s">
        <v>295</v>
      </c>
      <c r="B40" t="str">
        <f t="shared" si="0"/>
        <v>Congo (Democratic Republic of the)</v>
      </c>
      <c r="C40">
        <v>0.626</v>
      </c>
    </row>
    <row r="41" spans="1:3" x14ac:dyDescent="0.35">
      <c r="A41" t="s">
        <v>296</v>
      </c>
      <c r="B41" t="str">
        <f t="shared" si="0"/>
        <v>Costa Rica</v>
      </c>
      <c r="C41">
        <v>0.92700000000000005</v>
      </c>
    </row>
    <row r="42" spans="1:3" x14ac:dyDescent="0.35">
      <c r="A42" t="s">
        <v>297</v>
      </c>
      <c r="B42" t="str">
        <f t="shared" si="0"/>
        <v>Croatia</v>
      </c>
      <c r="C42">
        <v>0.9</v>
      </c>
    </row>
    <row r="43" spans="1:3" x14ac:dyDescent="0.35">
      <c r="A43" t="s">
        <v>298</v>
      </c>
      <c r="B43" t="str">
        <f t="shared" si="0"/>
        <v>Cuba</v>
      </c>
      <c r="C43">
        <v>0.90500000000000003</v>
      </c>
    </row>
    <row r="44" spans="1:3" x14ac:dyDescent="0.35">
      <c r="A44" t="s">
        <v>299</v>
      </c>
      <c r="B44" t="str">
        <f t="shared" si="0"/>
        <v>Cyprus</v>
      </c>
      <c r="C44">
        <v>0.93799999999999994</v>
      </c>
    </row>
    <row r="45" spans="1:3" x14ac:dyDescent="0.35">
      <c r="A45" t="s">
        <v>424</v>
      </c>
      <c r="B45" t="str">
        <f t="shared" si="0"/>
        <v>Czechia</v>
      </c>
      <c r="C45">
        <v>0.91400000000000003</v>
      </c>
    </row>
    <row r="46" spans="1:3" x14ac:dyDescent="0.35">
      <c r="A46" t="s">
        <v>300</v>
      </c>
      <c r="B46" t="str">
        <f t="shared" si="0"/>
        <v>Côte d'Ivoire</v>
      </c>
      <c r="C46">
        <v>0.58099999999999996</v>
      </c>
    </row>
    <row r="47" spans="1:3" x14ac:dyDescent="0.35">
      <c r="A47" t="s">
        <v>428</v>
      </c>
      <c r="B47" t="str">
        <f t="shared" si="0"/>
        <v>Denmark</v>
      </c>
      <c r="C47">
        <v>0.93700000000000006</v>
      </c>
    </row>
    <row r="48" spans="1:3" x14ac:dyDescent="0.35">
      <c r="A48" t="s">
        <v>426</v>
      </c>
      <c r="B48" t="str">
        <f t="shared" si="0"/>
        <v>Djibouti</v>
      </c>
      <c r="C48">
        <v>0.72499999999999998</v>
      </c>
    </row>
    <row r="49" spans="1:3" x14ac:dyDescent="0.35">
      <c r="A49" t="s">
        <v>427</v>
      </c>
      <c r="B49" t="str">
        <f t="shared" si="0"/>
        <v>Dominica</v>
      </c>
      <c r="C49">
        <v>0.89600000000000002</v>
      </c>
    </row>
    <row r="50" spans="1:3" x14ac:dyDescent="0.35">
      <c r="A50" t="s">
        <v>301</v>
      </c>
      <c r="B50" t="str">
        <f t="shared" si="0"/>
        <v>Dominican Republic</v>
      </c>
      <c r="C50">
        <v>0.83199999999999996</v>
      </c>
    </row>
    <row r="51" spans="1:3" x14ac:dyDescent="0.35">
      <c r="A51" t="s">
        <v>302</v>
      </c>
      <c r="B51" t="str">
        <f t="shared" si="0"/>
        <v>Ecuador</v>
      </c>
      <c r="C51">
        <v>0.877</v>
      </c>
    </row>
    <row r="52" spans="1:3" x14ac:dyDescent="0.35">
      <c r="A52" t="s">
        <v>303</v>
      </c>
      <c r="B52" t="str">
        <f t="shared" si="0"/>
        <v>Egypt</v>
      </c>
      <c r="C52">
        <v>0.8</v>
      </c>
    </row>
    <row r="53" spans="1:3" x14ac:dyDescent="0.35">
      <c r="A53" t="s">
        <v>304</v>
      </c>
      <c r="B53" t="str">
        <f t="shared" si="0"/>
        <v>El Salvador</v>
      </c>
      <c r="C53">
        <v>0.82</v>
      </c>
    </row>
    <row r="54" spans="1:3" x14ac:dyDescent="0.35">
      <c r="A54" t="s">
        <v>305</v>
      </c>
      <c r="B54" t="str">
        <f t="shared" si="0"/>
        <v>Equatorial Guinea</v>
      </c>
      <c r="C54">
        <v>0.59599999999999997</v>
      </c>
    </row>
    <row r="55" spans="1:3" x14ac:dyDescent="0.35">
      <c r="A55" t="s">
        <v>306</v>
      </c>
      <c r="B55" t="str">
        <f t="shared" si="0"/>
        <v>Eritrea</v>
      </c>
      <c r="C55">
        <v>0.71299999999999997</v>
      </c>
    </row>
    <row r="56" spans="1:3" x14ac:dyDescent="0.35">
      <c r="A56" t="s">
        <v>307</v>
      </c>
      <c r="B56" t="str">
        <f t="shared" si="0"/>
        <v>Estonia</v>
      </c>
      <c r="C56">
        <v>0.90400000000000003</v>
      </c>
    </row>
    <row r="57" spans="1:3" x14ac:dyDescent="0.35">
      <c r="A57" t="s">
        <v>308</v>
      </c>
      <c r="B57" t="str">
        <f t="shared" si="0"/>
        <v>Eswatini (Kingdom of)</v>
      </c>
      <c r="C57">
        <v>0.61799999999999999</v>
      </c>
    </row>
    <row r="58" spans="1:3" x14ac:dyDescent="0.35">
      <c r="A58" t="s">
        <v>309</v>
      </c>
      <c r="B58" t="str">
        <f t="shared" si="0"/>
        <v>Ethiopia</v>
      </c>
      <c r="C58">
        <v>0.71699999999999997</v>
      </c>
    </row>
    <row r="59" spans="1:3" x14ac:dyDescent="0.35">
      <c r="A59" t="s">
        <v>310</v>
      </c>
      <c r="B59" t="str">
        <f t="shared" si="0"/>
        <v>Fiji</v>
      </c>
      <c r="C59">
        <v>0.73</v>
      </c>
    </row>
    <row r="60" spans="1:3" x14ac:dyDescent="0.35">
      <c r="A60" t="s">
        <v>429</v>
      </c>
      <c r="B60" t="str">
        <f t="shared" si="0"/>
        <v>Finland</v>
      </c>
      <c r="C60">
        <v>0.95199999999999996</v>
      </c>
    </row>
    <row r="61" spans="1:3" x14ac:dyDescent="0.35">
      <c r="A61" t="s">
        <v>430</v>
      </c>
      <c r="B61" t="str">
        <f t="shared" si="0"/>
        <v>France</v>
      </c>
      <c r="C61">
        <v>0.96399999999999997</v>
      </c>
    </row>
    <row r="62" spans="1:3" x14ac:dyDescent="0.35">
      <c r="A62" t="s">
        <v>311</v>
      </c>
      <c r="B62" t="str">
        <f t="shared" si="0"/>
        <v>Gabon</v>
      </c>
      <c r="C62">
        <v>0.71499999999999997</v>
      </c>
    </row>
    <row r="63" spans="1:3" x14ac:dyDescent="0.35">
      <c r="A63" t="s">
        <v>312</v>
      </c>
      <c r="B63" t="str">
        <f t="shared" si="0"/>
        <v>Gambia</v>
      </c>
      <c r="C63">
        <v>0.64700000000000002</v>
      </c>
    </row>
    <row r="64" spans="1:3" x14ac:dyDescent="0.35">
      <c r="A64" t="s">
        <v>313</v>
      </c>
      <c r="B64" t="str">
        <f t="shared" si="0"/>
        <v>Georgia</v>
      </c>
      <c r="C64">
        <v>0.82699999999999996</v>
      </c>
    </row>
    <row r="65" spans="1:3" x14ac:dyDescent="0.35">
      <c r="A65" t="s">
        <v>425</v>
      </c>
      <c r="B65" t="str">
        <f t="shared" si="0"/>
        <v>Germany</v>
      </c>
      <c r="C65">
        <v>0.94399999999999995</v>
      </c>
    </row>
    <row r="66" spans="1:3" x14ac:dyDescent="0.35">
      <c r="A66" t="s">
        <v>314</v>
      </c>
      <c r="B66" t="str">
        <f t="shared" ref="B66:B129" si="1">TRIM(A66)</f>
        <v>Ghana</v>
      </c>
      <c r="C66">
        <v>0.67800000000000005</v>
      </c>
    </row>
    <row r="67" spans="1:3" x14ac:dyDescent="0.35">
      <c r="A67" t="s">
        <v>315</v>
      </c>
      <c r="B67" t="str">
        <f t="shared" si="1"/>
        <v>Greece</v>
      </c>
      <c r="C67">
        <v>0.95799999999999996</v>
      </c>
    </row>
    <row r="68" spans="1:3" x14ac:dyDescent="0.35">
      <c r="A68" t="s">
        <v>316</v>
      </c>
      <c r="B68" t="str">
        <f t="shared" si="1"/>
        <v>Grenada</v>
      </c>
      <c r="C68">
        <v>0.80600000000000005</v>
      </c>
    </row>
    <row r="69" spans="1:3" x14ac:dyDescent="0.35">
      <c r="A69" t="s">
        <v>317</v>
      </c>
      <c r="B69" t="str">
        <f t="shared" si="1"/>
        <v>Guatemala</v>
      </c>
      <c r="C69">
        <v>0.83499999999999996</v>
      </c>
    </row>
    <row r="70" spans="1:3" x14ac:dyDescent="0.35">
      <c r="A70" t="s">
        <v>318</v>
      </c>
      <c r="B70" t="str">
        <f t="shared" si="1"/>
        <v>Guinea</v>
      </c>
      <c r="C70">
        <v>0.64</v>
      </c>
    </row>
    <row r="71" spans="1:3" x14ac:dyDescent="0.35">
      <c r="A71" t="s">
        <v>319</v>
      </c>
      <c r="B71" t="str">
        <f t="shared" si="1"/>
        <v>Guinea-Bissau</v>
      </c>
      <c r="C71">
        <v>0.59</v>
      </c>
    </row>
    <row r="72" spans="1:3" x14ac:dyDescent="0.35">
      <c r="A72" t="s">
        <v>320</v>
      </c>
      <c r="B72" t="str">
        <f t="shared" si="1"/>
        <v>Guyana</v>
      </c>
      <c r="C72">
        <v>0.76800000000000002</v>
      </c>
    </row>
    <row r="73" spans="1:3" x14ac:dyDescent="0.35">
      <c r="A73" t="s">
        <v>321</v>
      </c>
      <c r="B73" t="str">
        <f t="shared" si="1"/>
        <v>Haiti</v>
      </c>
      <c r="C73">
        <v>0.67700000000000005</v>
      </c>
    </row>
    <row r="74" spans="1:3" x14ac:dyDescent="0.35">
      <c r="A74" t="s">
        <v>322</v>
      </c>
      <c r="B74" t="str">
        <f t="shared" si="1"/>
        <v>Honduras</v>
      </c>
      <c r="C74">
        <v>0.85</v>
      </c>
    </row>
    <row r="75" spans="1:3" x14ac:dyDescent="0.35">
      <c r="A75" t="s">
        <v>433</v>
      </c>
      <c r="B75" t="str">
        <f t="shared" si="1"/>
        <v>Hong Kong, China (SAR)</v>
      </c>
      <c r="C75">
        <v>0.998</v>
      </c>
    </row>
    <row r="76" spans="1:3" x14ac:dyDescent="0.35">
      <c r="A76" t="s">
        <v>323</v>
      </c>
      <c r="B76" t="str">
        <f t="shared" si="1"/>
        <v>Hungary</v>
      </c>
      <c r="C76">
        <v>0.875</v>
      </c>
    </row>
    <row r="77" spans="1:3" x14ac:dyDescent="0.35">
      <c r="A77" t="s">
        <v>435</v>
      </c>
      <c r="B77" t="str">
        <f t="shared" si="1"/>
        <v>Iceland</v>
      </c>
      <c r="C77">
        <v>0.96899999999999997</v>
      </c>
    </row>
    <row r="78" spans="1:3" x14ac:dyDescent="0.35">
      <c r="A78" t="s">
        <v>324</v>
      </c>
      <c r="B78" t="str">
        <f t="shared" si="1"/>
        <v>India</v>
      </c>
      <c r="C78">
        <v>0.76400000000000001</v>
      </c>
    </row>
    <row r="79" spans="1:3" x14ac:dyDescent="0.35">
      <c r="A79" t="s">
        <v>325</v>
      </c>
      <c r="B79" t="str">
        <f t="shared" si="1"/>
        <v>Indonesia</v>
      </c>
      <c r="C79">
        <v>0.79600000000000004</v>
      </c>
    </row>
    <row r="80" spans="1:3" x14ac:dyDescent="0.35">
      <c r="A80" t="s">
        <v>326</v>
      </c>
      <c r="B80" t="str">
        <f t="shared" si="1"/>
        <v>Iran (Islamic Republic of)</v>
      </c>
      <c r="C80">
        <v>0.872</v>
      </c>
    </row>
    <row r="81" spans="1:3" x14ac:dyDescent="0.35">
      <c r="A81" t="s">
        <v>327</v>
      </c>
      <c r="B81" t="str">
        <f t="shared" si="1"/>
        <v>Iraq</v>
      </c>
      <c r="C81">
        <v>0.77800000000000002</v>
      </c>
    </row>
    <row r="82" spans="1:3" x14ac:dyDescent="0.35">
      <c r="A82" t="s">
        <v>434</v>
      </c>
      <c r="B82" t="str">
        <f t="shared" si="1"/>
        <v>Ireland</v>
      </c>
      <c r="C82">
        <v>0.95899999999999996</v>
      </c>
    </row>
    <row r="83" spans="1:3" x14ac:dyDescent="0.35">
      <c r="A83" t="s">
        <v>436</v>
      </c>
      <c r="B83" t="str">
        <f t="shared" si="1"/>
        <v>Israel</v>
      </c>
      <c r="C83">
        <v>0.96899999999999997</v>
      </c>
    </row>
    <row r="84" spans="1:3" x14ac:dyDescent="0.35">
      <c r="A84" t="s">
        <v>328</v>
      </c>
      <c r="B84" t="str">
        <f t="shared" si="1"/>
        <v>Italy</v>
      </c>
      <c r="C84">
        <v>0.97699999999999998</v>
      </c>
    </row>
    <row r="85" spans="1:3" x14ac:dyDescent="0.35">
      <c r="A85" t="s">
        <v>329</v>
      </c>
      <c r="B85" t="str">
        <f t="shared" si="1"/>
        <v>Jamaica</v>
      </c>
      <c r="C85">
        <v>0.83799999999999997</v>
      </c>
    </row>
    <row r="86" spans="1:3" x14ac:dyDescent="0.35">
      <c r="A86" t="s">
        <v>437</v>
      </c>
      <c r="B86" t="str">
        <f t="shared" si="1"/>
        <v>Japan</v>
      </c>
      <c r="C86">
        <v>0.99399999999999999</v>
      </c>
    </row>
    <row r="87" spans="1:3" x14ac:dyDescent="0.35">
      <c r="A87" t="s">
        <v>330</v>
      </c>
      <c r="B87" t="str">
        <f t="shared" si="1"/>
        <v>Jordan</v>
      </c>
      <c r="C87">
        <v>0.83899999999999997</v>
      </c>
    </row>
    <row r="88" spans="1:3" x14ac:dyDescent="0.35">
      <c r="A88" t="s">
        <v>331</v>
      </c>
      <c r="B88" t="str">
        <f t="shared" si="1"/>
        <v>Kazakhstan</v>
      </c>
      <c r="C88">
        <v>0.82499999999999996</v>
      </c>
    </row>
    <row r="89" spans="1:3" x14ac:dyDescent="0.35">
      <c r="A89" t="s">
        <v>332</v>
      </c>
      <c r="B89" t="str">
        <f t="shared" si="1"/>
        <v>Kenya</v>
      </c>
      <c r="C89">
        <v>0.71799999999999997</v>
      </c>
    </row>
    <row r="90" spans="1:3" x14ac:dyDescent="0.35">
      <c r="A90" t="s">
        <v>438</v>
      </c>
      <c r="B90" t="str">
        <f t="shared" si="1"/>
        <v>Kiribati</v>
      </c>
      <c r="C90">
        <v>0.74399999999999999</v>
      </c>
    </row>
    <row r="91" spans="1:3" x14ac:dyDescent="0.35">
      <c r="A91" t="s">
        <v>333</v>
      </c>
      <c r="B91" t="str">
        <f t="shared" si="1"/>
        <v>Korea (Democratic People's Rep. of)</v>
      </c>
      <c r="C91">
        <v>0.80400000000000005</v>
      </c>
    </row>
    <row r="92" spans="1:3" x14ac:dyDescent="0.35">
      <c r="A92" t="s">
        <v>440</v>
      </c>
      <c r="B92" t="str">
        <f t="shared" si="1"/>
        <v>Korea (Republic of)</v>
      </c>
      <c r="C92">
        <v>0.97</v>
      </c>
    </row>
    <row r="93" spans="1:3" x14ac:dyDescent="0.35">
      <c r="A93" t="s">
        <v>334</v>
      </c>
      <c r="B93" t="str">
        <f t="shared" si="1"/>
        <v>Kuwait</v>
      </c>
      <c r="C93">
        <v>0.85399999999999998</v>
      </c>
    </row>
    <row r="94" spans="1:3" x14ac:dyDescent="0.35">
      <c r="A94" t="s">
        <v>335</v>
      </c>
      <c r="B94" t="str">
        <f t="shared" si="1"/>
        <v>Kyrgyzstan</v>
      </c>
      <c r="C94">
        <v>0.79200000000000004</v>
      </c>
    </row>
    <row r="95" spans="1:3" x14ac:dyDescent="0.35">
      <c r="A95" t="s">
        <v>336</v>
      </c>
      <c r="B95" t="str">
        <f t="shared" si="1"/>
        <v>Lao People's Democratic Republic</v>
      </c>
      <c r="C95">
        <v>0.73699999999999999</v>
      </c>
    </row>
    <row r="96" spans="1:3" x14ac:dyDescent="0.35">
      <c r="A96" t="s">
        <v>337</v>
      </c>
      <c r="B96" t="str">
        <f t="shared" si="1"/>
        <v>Latvia</v>
      </c>
      <c r="C96">
        <v>0.85099999999999998</v>
      </c>
    </row>
    <row r="97" spans="1:3" x14ac:dyDescent="0.35">
      <c r="A97" t="s">
        <v>338</v>
      </c>
      <c r="B97" t="str">
        <f t="shared" si="1"/>
        <v>Lebanon</v>
      </c>
      <c r="C97">
        <v>0.90700000000000003</v>
      </c>
    </row>
    <row r="98" spans="1:3" x14ac:dyDescent="0.35">
      <c r="A98" t="s">
        <v>339</v>
      </c>
      <c r="B98" t="str">
        <f t="shared" si="1"/>
        <v>Lesotho</v>
      </c>
      <c r="C98">
        <v>0.52800000000000002</v>
      </c>
    </row>
    <row r="99" spans="1:3" x14ac:dyDescent="0.35">
      <c r="A99" t="s">
        <v>340</v>
      </c>
      <c r="B99" t="str">
        <f t="shared" si="1"/>
        <v>Liberia</v>
      </c>
      <c r="C99">
        <v>0.67800000000000005</v>
      </c>
    </row>
    <row r="100" spans="1:3" x14ac:dyDescent="0.35">
      <c r="A100" t="s">
        <v>441</v>
      </c>
      <c r="B100" t="str">
        <f t="shared" si="1"/>
        <v>Libya</v>
      </c>
      <c r="C100">
        <v>0.81399999999999995</v>
      </c>
    </row>
    <row r="101" spans="1:3" x14ac:dyDescent="0.35">
      <c r="A101" t="s">
        <v>443</v>
      </c>
      <c r="B101" t="str">
        <f t="shared" si="1"/>
        <v>Liechtenstein</v>
      </c>
      <c r="C101">
        <v>0.93300000000000005</v>
      </c>
    </row>
    <row r="102" spans="1:3" x14ac:dyDescent="0.35">
      <c r="A102" t="s">
        <v>341</v>
      </c>
      <c r="B102" t="str">
        <f t="shared" si="1"/>
        <v>Lithuania</v>
      </c>
      <c r="C102">
        <v>0.86</v>
      </c>
    </row>
    <row r="103" spans="1:3" x14ac:dyDescent="0.35">
      <c r="A103" t="s">
        <v>444</v>
      </c>
      <c r="B103" t="str">
        <f t="shared" si="1"/>
        <v>Luxembourg</v>
      </c>
      <c r="C103">
        <v>0.95799999999999996</v>
      </c>
    </row>
    <row r="104" spans="1:3" x14ac:dyDescent="0.35">
      <c r="A104" t="s">
        <v>342</v>
      </c>
      <c r="B104" t="str">
        <f t="shared" si="1"/>
        <v>Madagascar</v>
      </c>
      <c r="C104">
        <v>0.72399999999999998</v>
      </c>
    </row>
    <row r="105" spans="1:3" x14ac:dyDescent="0.35">
      <c r="A105" t="s">
        <v>343</v>
      </c>
      <c r="B105" t="str">
        <f t="shared" si="1"/>
        <v>Malawi</v>
      </c>
      <c r="C105">
        <v>0.68100000000000005</v>
      </c>
    </row>
    <row r="106" spans="1:3" x14ac:dyDescent="0.35">
      <c r="A106" t="s">
        <v>344</v>
      </c>
      <c r="B106" t="str">
        <f t="shared" si="1"/>
        <v>Malaysia</v>
      </c>
      <c r="C106">
        <v>0.86399999999999999</v>
      </c>
    </row>
    <row r="107" spans="1:3" x14ac:dyDescent="0.35">
      <c r="A107" t="s">
        <v>345</v>
      </c>
      <c r="B107" t="str">
        <f t="shared" si="1"/>
        <v>Maldives</v>
      </c>
      <c r="C107">
        <v>0.90600000000000003</v>
      </c>
    </row>
    <row r="108" spans="1:3" x14ac:dyDescent="0.35">
      <c r="A108" t="s">
        <v>346</v>
      </c>
      <c r="B108" t="str">
        <f t="shared" si="1"/>
        <v>Mali</v>
      </c>
      <c r="C108">
        <v>0.60499999999999998</v>
      </c>
    </row>
    <row r="109" spans="1:3" x14ac:dyDescent="0.35">
      <c r="A109" t="s">
        <v>347</v>
      </c>
      <c r="B109" t="str">
        <f t="shared" si="1"/>
        <v>Malta</v>
      </c>
      <c r="C109">
        <v>0.96199999999999997</v>
      </c>
    </row>
    <row r="110" spans="1:3" x14ac:dyDescent="0.35">
      <c r="A110" t="s">
        <v>348</v>
      </c>
      <c r="B110" t="str">
        <f t="shared" si="1"/>
        <v>Marshall Islands</v>
      </c>
      <c r="C110">
        <v>0.83199999999999996</v>
      </c>
    </row>
    <row r="111" spans="1:3" x14ac:dyDescent="0.35">
      <c r="A111" t="s">
        <v>349</v>
      </c>
      <c r="B111" t="str">
        <f t="shared" si="1"/>
        <v>Mauritania</v>
      </c>
      <c r="C111">
        <v>0.69099999999999995</v>
      </c>
    </row>
    <row r="112" spans="1:3" x14ac:dyDescent="0.35">
      <c r="A112" t="s">
        <v>350</v>
      </c>
      <c r="B112" t="str">
        <f t="shared" si="1"/>
        <v>Mauritius</v>
      </c>
      <c r="C112">
        <v>0.84599999999999997</v>
      </c>
    </row>
    <row r="113" spans="1:3" x14ac:dyDescent="0.35">
      <c r="A113" t="s">
        <v>351</v>
      </c>
      <c r="B113" t="str">
        <f t="shared" si="1"/>
        <v>Mexico</v>
      </c>
      <c r="C113">
        <v>0.84699999999999998</v>
      </c>
    </row>
    <row r="114" spans="1:3" x14ac:dyDescent="0.35">
      <c r="A114" t="s">
        <v>431</v>
      </c>
      <c r="B114" t="str">
        <f t="shared" si="1"/>
        <v>Micronesia (Federated States of)</v>
      </c>
      <c r="C114">
        <v>0.73699999999999999</v>
      </c>
    </row>
    <row r="115" spans="1:3" x14ac:dyDescent="0.35">
      <c r="A115" t="s">
        <v>352</v>
      </c>
      <c r="B115" t="str">
        <f t="shared" si="1"/>
        <v>Moldova (Republic of)</v>
      </c>
      <c r="C115">
        <v>0.79800000000000004</v>
      </c>
    </row>
    <row r="116" spans="1:3" x14ac:dyDescent="0.35">
      <c r="A116" t="s">
        <v>353</v>
      </c>
      <c r="B116" t="str">
        <f t="shared" si="1"/>
        <v>Mongolia</v>
      </c>
      <c r="C116">
        <v>0.76700000000000002</v>
      </c>
    </row>
    <row r="117" spans="1:3" x14ac:dyDescent="0.35">
      <c r="A117" t="s">
        <v>354</v>
      </c>
      <c r="B117" t="str">
        <f t="shared" si="1"/>
        <v>Montenegro</v>
      </c>
      <c r="C117">
        <v>0.875</v>
      </c>
    </row>
    <row r="118" spans="1:3" x14ac:dyDescent="0.35">
      <c r="A118" t="s">
        <v>355</v>
      </c>
      <c r="B118" t="str">
        <f t="shared" si="1"/>
        <v>Morocco</v>
      </c>
      <c r="C118">
        <v>0.872</v>
      </c>
    </row>
    <row r="119" spans="1:3" x14ac:dyDescent="0.35">
      <c r="A119" t="s">
        <v>356</v>
      </c>
      <c r="B119" t="str">
        <f t="shared" si="1"/>
        <v>Mozambique</v>
      </c>
      <c r="C119">
        <v>0.628</v>
      </c>
    </row>
    <row r="120" spans="1:3" x14ac:dyDescent="0.35">
      <c r="A120" t="s">
        <v>357</v>
      </c>
      <c r="B120" t="str">
        <f t="shared" si="1"/>
        <v>Myanmar</v>
      </c>
      <c r="C120">
        <v>0.72499999999999998</v>
      </c>
    </row>
    <row r="121" spans="1:3" x14ac:dyDescent="0.35">
      <c r="A121" t="s">
        <v>358</v>
      </c>
      <c r="B121" t="str">
        <f t="shared" si="1"/>
        <v>Namibia</v>
      </c>
      <c r="C121">
        <v>0.67200000000000004</v>
      </c>
    </row>
    <row r="122" spans="1:3" x14ac:dyDescent="0.35">
      <c r="A122" t="s">
        <v>359</v>
      </c>
      <c r="B122" t="str">
        <f t="shared" si="1"/>
        <v>Nepal</v>
      </c>
      <c r="C122">
        <v>0.78100000000000003</v>
      </c>
    </row>
    <row r="123" spans="1:3" x14ac:dyDescent="0.35">
      <c r="A123" t="s">
        <v>445</v>
      </c>
      <c r="B123" t="str">
        <f t="shared" si="1"/>
        <v>Netherlands</v>
      </c>
      <c r="C123">
        <v>0.95799999999999996</v>
      </c>
    </row>
    <row r="124" spans="1:3" x14ac:dyDescent="0.35">
      <c r="A124" t="s">
        <v>447</v>
      </c>
      <c r="B124" t="str">
        <f t="shared" si="1"/>
        <v>New Zealand</v>
      </c>
      <c r="C124">
        <v>0.95799999999999996</v>
      </c>
    </row>
    <row r="125" spans="1:3" x14ac:dyDescent="0.35">
      <c r="A125" t="s">
        <v>360</v>
      </c>
      <c r="B125" t="str">
        <f t="shared" si="1"/>
        <v>Nicaragua</v>
      </c>
      <c r="C125">
        <v>0.83799999999999997</v>
      </c>
    </row>
    <row r="126" spans="1:3" x14ac:dyDescent="0.35">
      <c r="A126" t="s">
        <v>361</v>
      </c>
      <c r="B126" t="str">
        <f t="shared" si="1"/>
        <v>Niger</v>
      </c>
      <c r="C126">
        <v>0.65300000000000002</v>
      </c>
    </row>
    <row r="127" spans="1:3" x14ac:dyDescent="0.35">
      <c r="A127" t="s">
        <v>362</v>
      </c>
      <c r="B127" t="str">
        <f t="shared" si="1"/>
        <v>Nigeria</v>
      </c>
      <c r="C127">
        <v>0.53400000000000003</v>
      </c>
    </row>
    <row r="128" spans="1:3" x14ac:dyDescent="0.35">
      <c r="A128" t="s">
        <v>363</v>
      </c>
      <c r="B128" t="str">
        <f t="shared" si="1"/>
        <v>North Macedonia</v>
      </c>
      <c r="C128">
        <v>0.85799999999999998</v>
      </c>
    </row>
    <row r="129" spans="1:3" x14ac:dyDescent="0.35">
      <c r="A129" t="s">
        <v>446</v>
      </c>
      <c r="B129" t="str">
        <f t="shared" si="1"/>
        <v>Norway</v>
      </c>
      <c r="C129">
        <v>0.96</v>
      </c>
    </row>
    <row r="130" spans="1:3" x14ac:dyDescent="0.35">
      <c r="A130" t="s">
        <v>364</v>
      </c>
      <c r="B130" t="str">
        <f t="shared" ref="B130:B193" si="2">TRIM(A130)</f>
        <v>Oman</v>
      </c>
      <c r="C130">
        <v>0.89</v>
      </c>
    </row>
    <row r="131" spans="1:3" x14ac:dyDescent="0.35">
      <c r="A131" t="s">
        <v>365</v>
      </c>
      <c r="B131" t="str">
        <f t="shared" si="2"/>
        <v>Pakistan</v>
      </c>
      <c r="C131">
        <v>0.72699999999999998</v>
      </c>
    </row>
    <row r="132" spans="1:3" x14ac:dyDescent="0.35">
      <c r="A132" t="s">
        <v>366</v>
      </c>
      <c r="B132" t="str">
        <f t="shared" si="2"/>
        <v>Palau</v>
      </c>
      <c r="C132">
        <v>0.83</v>
      </c>
    </row>
    <row r="133" spans="1:3" x14ac:dyDescent="0.35">
      <c r="A133" t="s">
        <v>367</v>
      </c>
      <c r="B133" t="str">
        <f t="shared" si="2"/>
        <v>Palestine, State of</v>
      </c>
      <c r="C133">
        <v>0.83199999999999996</v>
      </c>
    </row>
    <row r="134" spans="1:3" x14ac:dyDescent="0.35">
      <c r="A134" t="s">
        <v>368</v>
      </c>
      <c r="B134" t="str">
        <f t="shared" si="2"/>
        <v>Panama</v>
      </c>
      <c r="C134">
        <v>0.9</v>
      </c>
    </row>
    <row r="135" spans="1:3" x14ac:dyDescent="0.35">
      <c r="A135" t="s">
        <v>369</v>
      </c>
      <c r="B135" t="str">
        <f t="shared" si="2"/>
        <v>Papua New Guinea</v>
      </c>
      <c r="C135">
        <v>0.68500000000000005</v>
      </c>
    </row>
    <row r="136" spans="1:3" x14ac:dyDescent="0.35">
      <c r="A136" t="s">
        <v>370</v>
      </c>
      <c r="B136" t="str">
        <f t="shared" si="2"/>
        <v>Paraguay</v>
      </c>
      <c r="C136">
        <v>0.83499999999999996</v>
      </c>
    </row>
    <row r="137" spans="1:3" x14ac:dyDescent="0.35">
      <c r="A137" t="s">
        <v>371</v>
      </c>
      <c r="B137" t="str">
        <f t="shared" si="2"/>
        <v>Peru</v>
      </c>
      <c r="C137">
        <v>0.873</v>
      </c>
    </row>
    <row r="138" spans="1:3" x14ac:dyDescent="0.35">
      <c r="A138" t="s">
        <v>372</v>
      </c>
      <c r="B138" t="str">
        <f t="shared" si="2"/>
        <v>Philippines</v>
      </c>
      <c r="C138">
        <v>0.78800000000000003</v>
      </c>
    </row>
    <row r="139" spans="1:3" x14ac:dyDescent="0.35">
      <c r="A139" t="s">
        <v>373</v>
      </c>
      <c r="B139" t="str">
        <f t="shared" si="2"/>
        <v>Poland</v>
      </c>
      <c r="C139">
        <v>0.90400000000000003</v>
      </c>
    </row>
    <row r="140" spans="1:3" x14ac:dyDescent="0.35">
      <c r="A140" t="s">
        <v>374</v>
      </c>
      <c r="B140" t="str">
        <f t="shared" si="2"/>
        <v>Portugal</v>
      </c>
      <c r="C140">
        <v>0.95499999999999996</v>
      </c>
    </row>
    <row r="141" spans="1:3" x14ac:dyDescent="0.35">
      <c r="A141" t="s">
        <v>375</v>
      </c>
      <c r="B141" t="str">
        <f t="shared" si="2"/>
        <v>Qatar</v>
      </c>
      <c r="C141">
        <v>0.92700000000000005</v>
      </c>
    </row>
    <row r="142" spans="1:3" x14ac:dyDescent="0.35">
      <c r="A142" t="s">
        <v>376</v>
      </c>
      <c r="B142" t="str">
        <f t="shared" si="2"/>
        <v>Romania</v>
      </c>
      <c r="C142">
        <v>0.86199999999999999</v>
      </c>
    </row>
    <row r="143" spans="1:3" x14ac:dyDescent="0.35">
      <c r="A143" t="s">
        <v>377</v>
      </c>
      <c r="B143" t="str">
        <f t="shared" si="2"/>
        <v>Russian Federation</v>
      </c>
      <c r="C143">
        <v>0.80900000000000005</v>
      </c>
    </row>
    <row r="144" spans="1:3" x14ac:dyDescent="0.35">
      <c r="A144" t="s">
        <v>378</v>
      </c>
      <c r="B144" t="str">
        <f t="shared" si="2"/>
        <v>Rwanda</v>
      </c>
      <c r="C144">
        <v>0.754</v>
      </c>
    </row>
    <row r="145" spans="1:3" x14ac:dyDescent="0.35">
      <c r="A145" t="s">
        <v>439</v>
      </c>
      <c r="B145" t="str">
        <f t="shared" si="2"/>
        <v>Saint Kitts and Nevis</v>
      </c>
      <c r="C145">
        <v>0.84199999999999997</v>
      </c>
    </row>
    <row r="146" spans="1:3" x14ac:dyDescent="0.35">
      <c r="A146" t="s">
        <v>442</v>
      </c>
      <c r="B146" t="str">
        <f t="shared" si="2"/>
        <v>Saint Lucia</v>
      </c>
      <c r="C146">
        <v>0.86499999999999999</v>
      </c>
    </row>
    <row r="147" spans="1:3" x14ac:dyDescent="0.35">
      <c r="A147" t="s">
        <v>452</v>
      </c>
      <c r="B147" t="str">
        <f t="shared" si="2"/>
        <v>Saint Vincent and the Grenadines</v>
      </c>
      <c r="C147">
        <v>0.80800000000000005</v>
      </c>
    </row>
    <row r="148" spans="1:3" x14ac:dyDescent="0.35">
      <c r="A148" t="s">
        <v>379</v>
      </c>
      <c r="B148" t="str">
        <f t="shared" si="2"/>
        <v>Samoa</v>
      </c>
      <c r="C148">
        <v>0.82</v>
      </c>
    </row>
    <row r="149" spans="1:3" x14ac:dyDescent="0.35">
      <c r="A149" t="s">
        <v>381</v>
      </c>
      <c r="B149" t="str">
        <f t="shared" si="2"/>
        <v>Sao Tome and Principe</v>
      </c>
      <c r="C149">
        <v>0.77500000000000002</v>
      </c>
    </row>
    <row r="150" spans="1:3" x14ac:dyDescent="0.35">
      <c r="A150" t="s">
        <v>382</v>
      </c>
      <c r="B150" t="str">
        <f t="shared" si="2"/>
        <v>Saudi Arabia</v>
      </c>
      <c r="C150">
        <v>0.84799999999999998</v>
      </c>
    </row>
    <row r="151" spans="1:3" x14ac:dyDescent="0.35">
      <c r="A151" t="s">
        <v>383</v>
      </c>
      <c r="B151" t="str">
        <f t="shared" si="2"/>
        <v>Senegal</v>
      </c>
      <c r="C151">
        <v>0.73799999999999999</v>
      </c>
    </row>
    <row r="152" spans="1:3" x14ac:dyDescent="0.35">
      <c r="A152" t="s">
        <v>384</v>
      </c>
      <c r="B152" t="str">
        <f t="shared" si="2"/>
        <v>Serbia</v>
      </c>
      <c r="C152">
        <v>0.86199999999999999</v>
      </c>
    </row>
    <row r="153" spans="1:3" x14ac:dyDescent="0.35">
      <c r="A153" t="s">
        <v>385</v>
      </c>
      <c r="B153" t="str">
        <f t="shared" si="2"/>
        <v>Seychelles</v>
      </c>
      <c r="C153">
        <v>0.82199999999999995</v>
      </c>
    </row>
    <row r="154" spans="1:3" x14ac:dyDescent="0.35">
      <c r="A154" t="s">
        <v>386</v>
      </c>
      <c r="B154" t="str">
        <f t="shared" si="2"/>
        <v>Sierra Leone</v>
      </c>
      <c r="C154">
        <v>0.53400000000000003</v>
      </c>
    </row>
    <row r="155" spans="1:3" x14ac:dyDescent="0.35">
      <c r="A155" t="s">
        <v>387</v>
      </c>
      <c r="B155" t="str">
        <f t="shared" si="2"/>
        <v>Singapore</v>
      </c>
      <c r="C155">
        <v>0.97899999999999998</v>
      </c>
    </row>
    <row r="156" spans="1:3" x14ac:dyDescent="0.35">
      <c r="A156" t="s">
        <v>448</v>
      </c>
      <c r="B156" t="str">
        <f t="shared" si="2"/>
        <v>Slovakia</v>
      </c>
      <c r="C156">
        <v>0.88500000000000001</v>
      </c>
    </row>
    <row r="157" spans="1:3" x14ac:dyDescent="0.35">
      <c r="A157" t="s">
        <v>388</v>
      </c>
      <c r="B157" t="str">
        <f t="shared" si="2"/>
        <v>Slovenia</v>
      </c>
      <c r="C157">
        <v>0.94299999999999995</v>
      </c>
    </row>
    <row r="158" spans="1:3" x14ac:dyDescent="0.35">
      <c r="A158" t="s">
        <v>389</v>
      </c>
      <c r="B158" t="str">
        <f t="shared" si="2"/>
        <v>Solomon Islands</v>
      </c>
      <c r="C158">
        <v>0.81499999999999995</v>
      </c>
    </row>
    <row r="159" spans="1:3" x14ac:dyDescent="0.35">
      <c r="A159" t="s">
        <v>476</v>
      </c>
      <c r="B159" t="str">
        <f t="shared" si="2"/>
        <v>Somalia</v>
      </c>
      <c r="C159">
        <v>0.57499999999999996</v>
      </c>
    </row>
    <row r="160" spans="1:3" x14ac:dyDescent="0.35">
      <c r="A160" t="s">
        <v>390</v>
      </c>
      <c r="B160" t="str">
        <f t="shared" si="2"/>
        <v>South Africa</v>
      </c>
      <c r="C160">
        <v>0.67900000000000005</v>
      </c>
    </row>
    <row r="161" spans="1:3" x14ac:dyDescent="0.35">
      <c r="A161" t="s">
        <v>391</v>
      </c>
      <c r="B161" t="str">
        <f t="shared" si="2"/>
        <v>South Sudan</v>
      </c>
      <c r="C161">
        <v>0.58199999999999996</v>
      </c>
    </row>
    <row r="162" spans="1:3" x14ac:dyDescent="0.35">
      <c r="A162" t="s">
        <v>392</v>
      </c>
      <c r="B162" t="str">
        <f t="shared" si="2"/>
        <v>Spain</v>
      </c>
      <c r="C162">
        <v>0.97799999999999998</v>
      </c>
    </row>
    <row r="163" spans="1:3" x14ac:dyDescent="0.35">
      <c r="A163" t="s">
        <v>393</v>
      </c>
      <c r="B163" t="str">
        <f t="shared" si="2"/>
        <v>Sri Lanka</v>
      </c>
      <c r="C163">
        <v>0.877</v>
      </c>
    </row>
    <row r="164" spans="1:3" x14ac:dyDescent="0.35">
      <c r="A164" t="s">
        <v>394</v>
      </c>
      <c r="B164" t="str">
        <f t="shared" si="2"/>
        <v>Sudan</v>
      </c>
      <c r="C164">
        <v>0.69699999999999995</v>
      </c>
    </row>
    <row r="165" spans="1:3" x14ac:dyDescent="0.35">
      <c r="A165" t="s">
        <v>395</v>
      </c>
      <c r="B165" t="str">
        <f t="shared" si="2"/>
        <v>Suriname</v>
      </c>
      <c r="C165">
        <v>0.79500000000000004</v>
      </c>
    </row>
    <row r="166" spans="1:3" x14ac:dyDescent="0.35">
      <c r="A166" t="s">
        <v>449</v>
      </c>
      <c r="B166" t="str">
        <f t="shared" si="2"/>
        <v>Sweden</v>
      </c>
      <c r="C166">
        <v>0.96599999999999997</v>
      </c>
    </row>
    <row r="167" spans="1:3" x14ac:dyDescent="0.35">
      <c r="A167" t="s">
        <v>423</v>
      </c>
      <c r="B167" t="str">
        <f t="shared" si="2"/>
        <v>Switzerland</v>
      </c>
      <c r="C167">
        <v>0.98099999999999998</v>
      </c>
    </row>
    <row r="168" spans="1:3" x14ac:dyDescent="0.35">
      <c r="A168" t="s">
        <v>450</v>
      </c>
      <c r="B168" t="str">
        <f t="shared" si="2"/>
        <v>Syrian Arab Republic</v>
      </c>
      <c r="C168">
        <v>0.81100000000000005</v>
      </c>
    </row>
    <row r="169" spans="1:3" x14ac:dyDescent="0.35">
      <c r="A169" t="s">
        <v>396</v>
      </c>
      <c r="B169" t="str">
        <f t="shared" si="2"/>
        <v>Tajikistan</v>
      </c>
      <c r="C169">
        <v>0.78600000000000003</v>
      </c>
    </row>
    <row r="170" spans="1:3" x14ac:dyDescent="0.35">
      <c r="A170" t="s">
        <v>397</v>
      </c>
      <c r="B170" t="str">
        <f t="shared" si="2"/>
        <v>Tanzania (United Republic of)</v>
      </c>
      <c r="C170">
        <v>0.69899999999999995</v>
      </c>
    </row>
    <row r="171" spans="1:3" x14ac:dyDescent="0.35">
      <c r="A171" t="s">
        <v>398</v>
      </c>
      <c r="B171" t="str">
        <f t="shared" si="2"/>
        <v>Thailand</v>
      </c>
      <c r="C171">
        <v>0.879</v>
      </c>
    </row>
    <row r="172" spans="1:3" x14ac:dyDescent="0.35">
      <c r="A172" t="s">
        <v>399</v>
      </c>
      <c r="B172" t="str">
        <f t="shared" si="2"/>
        <v>Timor-Leste</v>
      </c>
      <c r="C172">
        <v>0.76200000000000001</v>
      </c>
    </row>
    <row r="173" spans="1:3" x14ac:dyDescent="0.35">
      <c r="A173" t="s">
        <v>400</v>
      </c>
      <c r="B173" t="str">
        <f t="shared" si="2"/>
        <v>Togo</v>
      </c>
      <c r="C173">
        <v>0.63100000000000001</v>
      </c>
    </row>
    <row r="174" spans="1:3" x14ac:dyDescent="0.35">
      <c r="A174" t="s">
        <v>401</v>
      </c>
      <c r="B174" t="str">
        <f t="shared" si="2"/>
        <v>Tonga</v>
      </c>
      <c r="C174">
        <v>0.78300000000000003</v>
      </c>
    </row>
    <row r="175" spans="1:3" x14ac:dyDescent="0.35">
      <c r="A175" t="s">
        <v>402</v>
      </c>
      <c r="B175" t="str">
        <f t="shared" si="2"/>
        <v>Trinidad and Tobago</v>
      </c>
      <c r="C175">
        <v>0.82299999999999995</v>
      </c>
    </row>
    <row r="176" spans="1:3" x14ac:dyDescent="0.35">
      <c r="A176" t="s">
        <v>403</v>
      </c>
      <c r="B176" t="str">
        <f t="shared" si="2"/>
        <v>Tunisia</v>
      </c>
      <c r="C176">
        <v>0.872</v>
      </c>
    </row>
    <row r="177" spans="1:3" x14ac:dyDescent="0.35">
      <c r="A177" t="s">
        <v>404</v>
      </c>
      <c r="B177" t="str">
        <f t="shared" si="2"/>
        <v>Turkey</v>
      </c>
      <c r="C177">
        <v>0.88800000000000001</v>
      </c>
    </row>
    <row r="178" spans="1:3" x14ac:dyDescent="0.35">
      <c r="A178" t="s">
        <v>405</v>
      </c>
      <c r="B178" t="str">
        <f t="shared" si="2"/>
        <v>Turkmenistan</v>
      </c>
      <c r="C178">
        <v>0.74099999999999999</v>
      </c>
    </row>
    <row r="179" spans="1:3" x14ac:dyDescent="0.35">
      <c r="A179" t="s">
        <v>406</v>
      </c>
      <c r="B179" t="str">
        <f t="shared" si="2"/>
        <v>Uganda</v>
      </c>
      <c r="C179">
        <v>0.66700000000000004</v>
      </c>
    </row>
    <row r="180" spans="1:3" x14ac:dyDescent="0.35">
      <c r="A180" t="s">
        <v>407</v>
      </c>
      <c r="B180" t="str">
        <f t="shared" si="2"/>
        <v>Ukraine</v>
      </c>
      <c r="C180">
        <v>0.80100000000000005</v>
      </c>
    </row>
    <row r="181" spans="1:3" x14ac:dyDescent="0.35">
      <c r="A181" t="s">
        <v>408</v>
      </c>
      <c r="B181" t="str">
        <f t="shared" si="2"/>
        <v>United Arab Emirates</v>
      </c>
      <c r="C181">
        <v>0.89200000000000002</v>
      </c>
    </row>
    <row r="182" spans="1:3" x14ac:dyDescent="0.35">
      <c r="A182" t="s">
        <v>432</v>
      </c>
      <c r="B182" t="str">
        <f t="shared" si="2"/>
        <v>United Kingdom</v>
      </c>
      <c r="C182">
        <v>0.94299999999999995</v>
      </c>
    </row>
    <row r="183" spans="1:3" x14ac:dyDescent="0.35">
      <c r="A183" t="s">
        <v>451</v>
      </c>
      <c r="B183" t="str">
        <f t="shared" si="2"/>
        <v>United States</v>
      </c>
      <c r="C183">
        <v>0.90600000000000003</v>
      </c>
    </row>
    <row r="184" spans="1:3" x14ac:dyDescent="0.35">
      <c r="A184" t="s">
        <v>409</v>
      </c>
      <c r="B184" t="str">
        <f t="shared" si="2"/>
        <v>Uruguay</v>
      </c>
      <c r="C184">
        <v>0.89100000000000001</v>
      </c>
    </row>
    <row r="185" spans="1:3" x14ac:dyDescent="0.35">
      <c r="A185" t="s">
        <v>410</v>
      </c>
      <c r="B185" t="str">
        <f t="shared" si="2"/>
        <v>Uzbekistan</v>
      </c>
      <c r="C185">
        <v>0.79600000000000004</v>
      </c>
    </row>
    <row r="186" spans="1:3" x14ac:dyDescent="0.35">
      <c r="A186" t="s">
        <v>411</v>
      </c>
      <c r="B186" t="str">
        <f t="shared" si="2"/>
        <v>Vanuatu</v>
      </c>
      <c r="C186">
        <v>0.77600000000000002</v>
      </c>
    </row>
    <row r="187" spans="1:3" x14ac:dyDescent="0.35">
      <c r="A187" t="s">
        <v>412</v>
      </c>
      <c r="B187" t="str">
        <f t="shared" si="2"/>
        <v>Venezuela (Bolivarian Republic of)</v>
      </c>
      <c r="C187">
        <v>0.80100000000000005</v>
      </c>
    </row>
    <row r="188" spans="1:3" x14ac:dyDescent="0.35">
      <c r="A188" t="s">
        <v>413</v>
      </c>
      <c r="B188" t="str">
        <f t="shared" si="2"/>
        <v>Viet Nam</v>
      </c>
      <c r="C188">
        <v>0.85199999999999998</v>
      </c>
    </row>
    <row r="189" spans="1:3" x14ac:dyDescent="0.35">
      <c r="A189" t="s">
        <v>453</v>
      </c>
      <c r="B189" t="str">
        <f t="shared" si="2"/>
        <v>Yemen</v>
      </c>
      <c r="C189">
        <v>0.71</v>
      </c>
    </row>
    <row r="190" spans="1:3" x14ac:dyDescent="0.35">
      <c r="A190" t="s">
        <v>414</v>
      </c>
      <c r="B190" t="str">
        <f t="shared" si="2"/>
        <v>Zambia</v>
      </c>
      <c r="C190">
        <v>0.67500000000000004</v>
      </c>
    </row>
    <row r="191" spans="1:3" x14ac:dyDescent="0.35">
      <c r="A191" t="s">
        <v>415</v>
      </c>
      <c r="B191" t="str">
        <f t="shared" si="2"/>
        <v>Zimbabwe</v>
      </c>
      <c r="C191">
        <v>0.63800000000000001</v>
      </c>
    </row>
    <row r="192" spans="1:3" x14ac:dyDescent="0.35">
      <c r="A192" t="s">
        <v>454</v>
      </c>
      <c r="B192" t="str">
        <f t="shared" si="2"/>
        <v>Human Development</v>
      </c>
      <c r="C192" t="s">
        <v>471</v>
      </c>
    </row>
    <row r="193" spans="1:3" x14ac:dyDescent="0.35">
      <c r="A193" t="s">
        <v>455</v>
      </c>
      <c r="B193" t="str">
        <f t="shared" si="2"/>
        <v>Very high human development</v>
      </c>
      <c r="C193">
        <v>0.91700000000000004</v>
      </c>
    </row>
    <row r="194" spans="1:3" x14ac:dyDescent="0.35">
      <c r="A194" t="s">
        <v>456</v>
      </c>
      <c r="B194" t="str">
        <f t="shared" ref="B194:B208" si="3">TRIM(A194)</f>
        <v>High human development</v>
      </c>
      <c r="C194">
        <v>0.85099999999999998</v>
      </c>
    </row>
    <row r="195" spans="1:3" x14ac:dyDescent="0.35">
      <c r="A195" t="s">
        <v>457</v>
      </c>
      <c r="B195" t="str">
        <f t="shared" si="3"/>
        <v>Medium human development</v>
      </c>
      <c r="C195">
        <v>0.75800000000000001</v>
      </c>
    </row>
    <row r="196" spans="1:3" x14ac:dyDescent="0.35">
      <c r="A196" t="s">
        <v>458</v>
      </c>
      <c r="B196" t="str">
        <f t="shared" si="3"/>
        <v>Low human development</v>
      </c>
      <c r="C196">
        <v>0.63800000000000001</v>
      </c>
    </row>
    <row r="197" spans="1:3" x14ac:dyDescent="0.35">
      <c r="A197" t="s">
        <v>459</v>
      </c>
      <c r="B197" t="str">
        <f t="shared" si="3"/>
        <v>Developing Countries</v>
      </c>
      <c r="C197">
        <v>0.78900000000000003</v>
      </c>
    </row>
    <row r="198" spans="1:3" x14ac:dyDescent="0.35">
      <c r="A198" t="s">
        <v>460</v>
      </c>
      <c r="B198" t="str">
        <f t="shared" si="3"/>
        <v>Regions</v>
      </c>
      <c r="C198" t="s">
        <v>471</v>
      </c>
    </row>
    <row r="199" spans="1:3" x14ac:dyDescent="0.35">
      <c r="A199" t="s">
        <v>461</v>
      </c>
      <c r="B199" t="str">
        <f t="shared" si="3"/>
        <v>Arab States</v>
      </c>
      <c r="C199">
        <v>0.80100000000000005</v>
      </c>
    </row>
    <row r="200" spans="1:3" x14ac:dyDescent="0.35">
      <c r="A200" t="s">
        <v>462</v>
      </c>
      <c r="B200" t="str">
        <f t="shared" si="3"/>
        <v>East Asia and the Pacific</v>
      </c>
      <c r="C200">
        <v>0.85299999999999998</v>
      </c>
    </row>
    <row r="201" spans="1:3" x14ac:dyDescent="0.35">
      <c r="A201" t="s">
        <v>463</v>
      </c>
      <c r="B201" t="str">
        <f t="shared" si="3"/>
        <v>Europe and Central Asia</v>
      </c>
      <c r="C201">
        <v>0.83699999999999997</v>
      </c>
    </row>
    <row r="202" spans="1:3" x14ac:dyDescent="0.35">
      <c r="A202" t="s">
        <v>464</v>
      </c>
      <c r="B202" t="str">
        <f t="shared" si="3"/>
        <v>Latin America and the Caribbean</v>
      </c>
      <c r="C202">
        <v>0.85499999999999998</v>
      </c>
    </row>
    <row r="203" spans="1:3" x14ac:dyDescent="0.35">
      <c r="A203" t="s">
        <v>465</v>
      </c>
      <c r="B203" t="str">
        <f t="shared" si="3"/>
        <v>South Asia</v>
      </c>
      <c r="C203">
        <v>0.76800000000000002</v>
      </c>
    </row>
    <row r="204" spans="1:3" x14ac:dyDescent="0.35">
      <c r="A204" t="s">
        <v>466</v>
      </c>
      <c r="B204" t="str">
        <f t="shared" si="3"/>
        <v>Sub-Saharan Africa</v>
      </c>
      <c r="C204">
        <v>0.63900000000000001</v>
      </c>
    </row>
    <row r="205" spans="1:3" x14ac:dyDescent="0.35">
      <c r="A205" t="s">
        <v>467</v>
      </c>
      <c r="B205" t="str">
        <f t="shared" si="3"/>
        <v>Least Developed Countries</v>
      </c>
      <c r="C205">
        <v>0.69799999999999995</v>
      </c>
    </row>
    <row r="206" spans="1:3" x14ac:dyDescent="0.35">
      <c r="A206" t="s">
        <v>468</v>
      </c>
      <c r="B206" t="str">
        <f t="shared" si="3"/>
        <v>Small Island Developing States</v>
      </c>
      <c r="C206">
        <v>0.8</v>
      </c>
    </row>
    <row r="207" spans="1:3" x14ac:dyDescent="0.35">
      <c r="A207" t="s">
        <v>469</v>
      </c>
      <c r="B207" t="str">
        <f t="shared" si="3"/>
        <v>Organization for Economic Co-operation and Development</v>
      </c>
      <c r="C207">
        <v>0.92900000000000005</v>
      </c>
    </row>
    <row r="208" spans="1:3" x14ac:dyDescent="0.35">
      <c r="A208" t="s">
        <v>470</v>
      </c>
      <c r="B208" t="str">
        <f t="shared" si="3"/>
        <v>World</v>
      </c>
      <c r="C208">
        <v>0.81200000000000006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8"/>
  <sheetViews>
    <sheetView topLeftCell="A6" workbookViewId="0">
      <selection activeCell="F18" sqref="F18"/>
    </sheetView>
  </sheetViews>
  <sheetFormatPr defaultRowHeight="14.5" x14ac:dyDescent="0.35"/>
  <cols>
    <col min="1" max="1" width="32.453125" customWidth="1"/>
    <col min="2" max="2" width="33.36328125" customWidth="1"/>
    <col min="3" max="3" width="20.6328125" customWidth="1"/>
  </cols>
  <sheetData>
    <row r="1" spans="1:3" x14ac:dyDescent="0.35">
      <c r="A1" t="s">
        <v>263</v>
      </c>
      <c r="B1" t="str">
        <f>TRIM(A1)</f>
        <v>Afghanistan</v>
      </c>
      <c r="C1">
        <v>43</v>
      </c>
    </row>
    <row r="2" spans="1:3" x14ac:dyDescent="0.35">
      <c r="A2" t="s">
        <v>264</v>
      </c>
      <c r="B2" t="str">
        <f t="shared" ref="B2:B65" si="0">TRIM(A2)</f>
        <v>Albania</v>
      </c>
      <c r="C2">
        <v>98.1</v>
      </c>
    </row>
    <row r="3" spans="1:3" x14ac:dyDescent="0.35">
      <c r="A3" t="s">
        <v>265</v>
      </c>
      <c r="B3" t="str">
        <f t="shared" si="0"/>
        <v>Algeria</v>
      </c>
      <c r="C3">
        <v>81.400000000000006</v>
      </c>
    </row>
    <row r="4" spans="1:3" x14ac:dyDescent="0.35">
      <c r="A4" t="s">
        <v>266</v>
      </c>
      <c r="B4" t="str">
        <f t="shared" si="0"/>
        <v>Angola</v>
      </c>
      <c r="C4">
        <v>66</v>
      </c>
    </row>
    <row r="5" spans="1:3" x14ac:dyDescent="0.35">
      <c r="A5" t="s">
        <v>267</v>
      </c>
      <c r="B5" t="str">
        <f t="shared" si="0"/>
        <v>Antigua and Barbuda</v>
      </c>
      <c r="C5">
        <v>99</v>
      </c>
    </row>
    <row r="6" spans="1:3" x14ac:dyDescent="0.35">
      <c r="A6" t="s">
        <v>268</v>
      </c>
      <c r="B6" t="str">
        <f t="shared" si="0"/>
        <v>Argentina</v>
      </c>
      <c r="C6">
        <v>99</v>
      </c>
    </row>
    <row r="7" spans="1:3" x14ac:dyDescent="0.35">
      <c r="A7" t="s">
        <v>269</v>
      </c>
      <c r="B7" t="str">
        <f t="shared" si="0"/>
        <v>Armenia</v>
      </c>
      <c r="C7">
        <v>99.7</v>
      </c>
    </row>
    <row r="8" spans="1:3" x14ac:dyDescent="0.35">
      <c r="A8" t="s">
        <v>270</v>
      </c>
      <c r="B8" t="str">
        <f t="shared" si="0"/>
        <v>Azerbaijan</v>
      </c>
      <c r="C8">
        <v>99.8</v>
      </c>
    </row>
    <row r="9" spans="1:3" x14ac:dyDescent="0.35">
      <c r="A9" t="s">
        <v>271</v>
      </c>
      <c r="B9" t="str">
        <f t="shared" si="0"/>
        <v>Bahrain</v>
      </c>
      <c r="C9">
        <v>97.5</v>
      </c>
    </row>
    <row r="10" spans="1:3" x14ac:dyDescent="0.35">
      <c r="A10" t="s">
        <v>272</v>
      </c>
      <c r="B10" t="str">
        <f t="shared" si="0"/>
        <v>Bangladesh</v>
      </c>
      <c r="C10">
        <v>73.900000000000006</v>
      </c>
    </row>
    <row r="11" spans="1:3" x14ac:dyDescent="0.35">
      <c r="A11" t="s">
        <v>273</v>
      </c>
      <c r="B11" t="str">
        <f t="shared" si="0"/>
        <v>Barbados</v>
      </c>
      <c r="C11">
        <v>99.6</v>
      </c>
    </row>
    <row r="12" spans="1:3" x14ac:dyDescent="0.35">
      <c r="A12" t="s">
        <v>274</v>
      </c>
      <c r="B12" t="str">
        <f t="shared" si="0"/>
        <v>Belarus</v>
      </c>
      <c r="C12">
        <v>99.8</v>
      </c>
    </row>
    <row r="13" spans="1:3" x14ac:dyDescent="0.35">
      <c r="A13" t="s">
        <v>275</v>
      </c>
      <c r="B13" t="str">
        <f t="shared" si="0"/>
        <v>Benin</v>
      </c>
      <c r="C13">
        <v>42.4</v>
      </c>
    </row>
    <row r="14" spans="1:3" x14ac:dyDescent="0.35">
      <c r="A14" t="s">
        <v>276</v>
      </c>
      <c r="B14" t="str">
        <f t="shared" si="0"/>
        <v>Bhutan</v>
      </c>
      <c r="C14">
        <v>66.599999999999994</v>
      </c>
    </row>
    <row r="15" spans="1:3" x14ac:dyDescent="0.35">
      <c r="A15" t="s">
        <v>277</v>
      </c>
      <c r="B15" t="str">
        <f t="shared" si="0"/>
        <v>Bolivia (Plurinational State of)</v>
      </c>
      <c r="C15">
        <v>92.5</v>
      </c>
    </row>
    <row r="16" spans="1:3" x14ac:dyDescent="0.35">
      <c r="A16" t="s">
        <v>278</v>
      </c>
      <c r="B16" t="str">
        <f t="shared" si="0"/>
        <v>Bosnia and Herzegovina</v>
      </c>
      <c r="C16">
        <v>97</v>
      </c>
    </row>
    <row r="17" spans="1:3" x14ac:dyDescent="0.35">
      <c r="A17" t="s">
        <v>279</v>
      </c>
      <c r="B17" t="str">
        <f t="shared" si="0"/>
        <v>Botswana</v>
      </c>
      <c r="C17">
        <v>86.8</v>
      </c>
    </row>
    <row r="18" spans="1:3" x14ac:dyDescent="0.35">
      <c r="A18" t="s">
        <v>280</v>
      </c>
      <c r="B18" t="str">
        <f t="shared" si="0"/>
        <v>Brazil</v>
      </c>
      <c r="C18">
        <v>93.2</v>
      </c>
    </row>
    <row r="19" spans="1:3" x14ac:dyDescent="0.35">
      <c r="A19" t="s">
        <v>281</v>
      </c>
      <c r="B19" t="str">
        <f t="shared" si="0"/>
        <v>Brunei Darussalam</v>
      </c>
      <c r="C19">
        <v>97.2</v>
      </c>
    </row>
    <row r="20" spans="1:3" x14ac:dyDescent="0.35">
      <c r="A20" t="s">
        <v>282</v>
      </c>
      <c r="B20" t="str">
        <f t="shared" si="0"/>
        <v>Bulgaria</v>
      </c>
      <c r="C20">
        <v>98.4</v>
      </c>
    </row>
    <row r="21" spans="1:3" x14ac:dyDescent="0.35">
      <c r="A21" t="s">
        <v>283</v>
      </c>
      <c r="B21" t="str">
        <f t="shared" si="0"/>
        <v>Burkina Faso</v>
      </c>
      <c r="C21">
        <v>41.2</v>
      </c>
    </row>
    <row r="22" spans="1:3" x14ac:dyDescent="0.35">
      <c r="A22" t="s">
        <v>284</v>
      </c>
      <c r="B22" t="str">
        <f t="shared" si="0"/>
        <v>Burundi</v>
      </c>
      <c r="C22">
        <v>68.400000000000006</v>
      </c>
    </row>
    <row r="23" spans="1:3" x14ac:dyDescent="0.35">
      <c r="A23" t="s">
        <v>285</v>
      </c>
      <c r="B23" t="str">
        <f t="shared" si="0"/>
        <v>Cabo Verde</v>
      </c>
      <c r="C23">
        <v>86.8</v>
      </c>
    </row>
    <row r="24" spans="1:3" x14ac:dyDescent="0.35">
      <c r="A24" t="s">
        <v>286</v>
      </c>
      <c r="B24" t="str">
        <f t="shared" si="0"/>
        <v>Cambodia</v>
      </c>
      <c r="C24">
        <v>80.5</v>
      </c>
    </row>
    <row r="25" spans="1:3" x14ac:dyDescent="0.35">
      <c r="A25" t="s">
        <v>287</v>
      </c>
      <c r="B25" t="str">
        <f t="shared" si="0"/>
        <v>Cameroon</v>
      </c>
      <c r="C25">
        <v>77.099999999999994</v>
      </c>
    </row>
    <row r="26" spans="1:3" x14ac:dyDescent="0.35">
      <c r="A26" t="s">
        <v>288</v>
      </c>
      <c r="B26" t="str">
        <f t="shared" si="0"/>
        <v>Central African Republic</v>
      </c>
      <c r="C26">
        <v>37.4</v>
      </c>
    </row>
    <row r="27" spans="1:3" x14ac:dyDescent="0.35">
      <c r="A27" t="s">
        <v>289</v>
      </c>
      <c r="B27" t="str">
        <f t="shared" si="0"/>
        <v>Chad</v>
      </c>
      <c r="C27">
        <v>22.3</v>
      </c>
    </row>
    <row r="28" spans="1:3" x14ac:dyDescent="0.35">
      <c r="A28" t="s">
        <v>290</v>
      </c>
      <c r="B28" t="str">
        <f t="shared" si="0"/>
        <v>Chile</v>
      </c>
      <c r="C28">
        <v>96.4</v>
      </c>
    </row>
    <row r="29" spans="1:3" x14ac:dyDescent="0.35">
      <c r="A29" t="s">
        <v>291</v>
      </c>
      <c r="B29" t="str">
        <f t="shared" si="0"/>
        <v>China</v>
      </c>
      <c r="C29">
        <v>96.8</v>
      </c>
    </row>
    <row r="30" spans="1:3" x14ac:dyDescent="0.35">
      <c r="A30" t="s">
        <v>292</v>
      </c>
      <c r="B30" t="str">
        <f t="shared" si="0"/>
        <v>Colombia</v>
      </c>
      <c r="C30">
        <v>95.1</v>
      </c>
    </row>
    <row r="31" spans="1:3" x14ac:dyDescent="0.35">
      <c r="A31" t="s">
        <v>293</v>
      </c>
      <c r="B31" t="str">
        <f t="shared" si="0"/>
        <v>Comoros</v>
      </c>
      <c r="C31">
        <v>58.8</v>
      </c>
    </row>
    <row r="32" spans="1:3" x14ac:dyDescent="0.35">
      <c r="A32" t="s">
        <v>294</v>
      </c>
      <c r="B32" t="str">
        <f t="shared" si="0"/>
        <v>Congo</v>
      </c>
      <c r="C32">
        <v>80.3</v>
      </c>
    </row>
    <row r="33" spans="1:3" x14ac:dyDescent="0.35">
      <c r="A33" t="s">
        <v>295</v>
      </c>
      <c r="B33" t="str">
        <f t="shared" si="0"/>
        <v>Congo (Democratic Republic of the)</v>
      </c>
      <c r="C33">
        <v>77</v>
      </c>
    </row>
    <row r="34" spans="1:3" x14ac:dyDescent="0.35">
      <c r="A34" t="s">
        <v>296</v>
      </c>
      <c r="B34" t="str">
        <f t="shared" si="0"/>
        <v>Costa Rica</v>
      </c>
      <c r="C34">
        <v>97.9</v>
      </c>
    </row>
    <row r="35" spans="1:3" x14ac:dyDescent="0.35">
      <c r="A35" t="s">
        <v>297</v>
      </c>
      <c r="B35" t="str">
        <f t="shared" si="0"/>
        <v>Croatia</v>
      </c>
      <c r="C35">
        <v>99.1</v>
      </c>
    </row>
    <row r="36" spans="1:3" x14ac:dyDescent="0.35">
      <c r="A36" t="s">
        <v>298</v>
      </c>
      <c r="B36" t="str">
        <f t="shared" si="0"/>
        <v>Cuba</v>
      </c>
      <c r="C36">
        <v>99.8</v>
      </c>
    </row>
    <row r="37" spans="1:3" x14ac:dyDescent="0.35">
      <c r="A37" t="s">
        <v>299</v>
      </c>
      <c r="B37" t="str">
        <f t="shared" si="0"/>
        <v>Cyprus</v>
      </c>
      <c r="C37">
        <v>98.7</v>
      </c>
    </row>
    <row r="38" spans="1:3" x14ac:dyDescent="0.35">
      <c r="A38" t="s">
        <v>300</v>
      </c>
      <c r="B38" t="str">
        <f t="shared" si="0"/>
        <v>Côte d'Ivoire</v>
      </c>
      <c r="C38">
        <v>47.2</v>
      </c>
    </row>
    <row r="39" spans="1:3" x14ac:dyDescent="0.35">
      <c r="A39" t="s">
        <v>301</v>
      </c>
      <c r="B39" t="str">
        <f t="shared" si="0"/>
        <v>Dominican Republic</v>
      </c>
      <c r="C39">
        <v>93.8</v>
      </c>
    </row>
    <row r="40" spans="1:3" x14ac:dyDescent="0.35">
      <c r="A40" t="s">
        <v>302</v>
      </c>
      <c r="B40" t="str">
        <f t="shared" si="0"/>
        <v>Ecuador</v>
      </c>
      <c r="C40">
        <v>92.8</v>
      </c>
    </row>
    <row r="41" spans="1:3" x14ac:dyDescent="0.35">
      <c r="A41" t="s">
        <v>303</v>
      </c>
      <c r="B41" t="str">
        <f t="shared" si="0"/>
        <v>Egypt</v>
      </c>
      <c r="C41">
        <v>71.2</v>
      </c>
    </row>
    <row r="42" spans="1:3" x14ac:dyDescent="0.35">
      <c r="A42" t="s">
        <v>304</v>
      </c>
      <c r="B42" t="str">
        <f t="shared" si="0"/>
        <v>El Salvador</v>
      </c>
      <c r="C42">
        <v>89</v>
      </c>
    </row>
    <row r="43" spans="1:3" x14ac:dyDescent="0.35">
      <c r="A43" t="s">
        <v>305</v>
      </c>
      <c r="B43" t="str">
        <f t="shared" si="0"/>
        <v>Equatorial Guinea</v>
      </c>
      <c r="C43">
        <v>94.4</v>
      </c>
    </row>
    <row r="44" spans="1:3" x14ac:dyDescent="0.35">
      <c r="A44" t="s">
        <v>306</v>
      </c>
      <c r="B44" t="str">
        <f t="shared" si="0"/>
        <v>Eritrea</v>
      </c>
      <c r="C44">
        <v>76.599999999999994</v>
      </c>
    </row>
    <row r="45" spans="1:3" x14ac:dyDescent="0.35">
      <c r="A45" t="s">
        <v>307</v>
      </c>
      <c r="B45" t="str">
        <f t="shared" si="0"/>
        <v>Estonia</v>
      </c>
      <c r="C45">
        <v>99.9</v>
      </c>
    </row>
    <row r="46" spans="1:3" x14ac:dyDescent="0.35">
      <c r="A46" t="s">
        <v>308</v>
      </c>
      <c r="B46" t="str">
        <f t="shared" si="0"/>
        <v>Eswatini (Kingdom of)</v>
      </c>
      <c r="C46">
        <v>88.4</v>
      </c>
    </row>
    <row r="47" spans="1:3" x14ac:dyDescent="0.35">
      <c r="A47" t="s">
        <v>309</v>
      </c>
      <c r="B47" t="str">
        <f t="shared" si="0"/>
        <v>Ethiopia</v>
      </c>
      <c r="C47">
        <v>51.8</v>
      </c>
    </row>
    <row r="48" spans="1:3" x14ac:dyDescent="0.35">
      <c r="A48" t="s">
        <v>310</v>
      </c>
      <c r="B48" t="str">
        <f t="shared" si="0"/>
        <v>Fiji</v>
      </c>
      <c r="C48">
        <v>99.1</v>
      </c>
    </row>
    <row r="49" spans="1:3" x14ac:dyDescent="0.35">
      <c r="A49" t="s">
        <v>311</v>
      </c>
      <c r="B49" t="str">
        <f t="shared" si="0"/>
        <v>Gabon</v>
      </c>
      <c r="C49">
        <v>84.7</v>
      </c>
    </row>
    <row r="50" spans="1:3" x14ac:dyDescent="0.35">
      <c r="A50" t="s">
        <v>312</v>
      </c>
      <c r="B50" t="str">
        <f t="shared" si="0"/>
        <v>Gambia</v>
      </c>
      <c r="C50">
        <v>50.8</v>
      </c>
    </row>
    <row r="51" spans="1:3" x14ac:dyDescent="0.35">
      <c r="A51" t="s">
        <v>313</v>
      </c>
      <c r="B51" t="str">
        <f t="shared" si="0"/>
        <v>Georgia</v>
      </c>
      <c r="C51">
        <v>99.4</v>
      </c>
    </row>
    <row r="52" spans="1:3" x14ac:dyDescent="0.35">
      <c r="A52" t="s">
        <v>314</v>
      </c>
      <c r="B52" t="str">
        <f t="shared" si="0"/>
        <v>Ghana</v>
      </c>
      <c r="C52">
        <v>79</v>
      </c>
    </row>
    <row r="53" spans="1:3" x14ac:dyDescent="0.35">
      <c r="A53" t="s">
        <v>315</v>
      </c>
      <c r="B53" t="str">
        <f t="shared" si="0"/>
        <v>Greece</v>
      </c>
      <c r="C53">
        <v>97.9</v>
      </c>
    </row>
    <row r="54" spans="1:3" x14ac:dyDescent="0.35">
      <c r="A54" t="s">
        <v>316</v>
      </c>
      <c r="B54" t="str">
        <f t="shared" si="0"/>
        <v>Grenada</v>
      </c>
      <c r="C54">
        <v>98.6</v>
      </c>
    </row>
    <row r="55" spans="1:3" x14ac:dyDescent="0.35">
      <c r="A55" t="s">
        <v>317</v>
      </c>
      <c r="B55" t="str">
        <f t="shared" si="0"/>
        <v>Guatemala</v>
      </c>
      <c r="C55">
        <v>81.3</v>
      </c>
    </row>
    <row r="56" spans="1:3" x14ac:dyDescent="0.35">
      <c r="A56" t="s">
        <v>318</v>
      </c>
      <c r="B56" t="str">
        <f t="shared" si="0"/>
        <v>Guinea</v>
      </c>
      <c r="C56">
        <v>32</v>
      </c>
    </row>
    <row r="57" spans="1:3" x14ac:dyDescent="0.35">
      <c r="A57" t="s">
        <v>319</v>
      </c>
      <c r="B57" t="str">
        <f t="shared" si="0"/>
        <v>Guinea-Bissau</v>
      </c>
      <c r="C57">
        <v>45.6</v>
      </c>
    </row>
    <row r="58" spans="1:3" x14ac:dyDescent="0.35">
      <c r="A58" t="s">
        <v>320</v>
      </c>
      <c r="B58" t="str">
        <f t="shared" si="0"/>
        <v>Guyana</v>
      </c>
      <c r="C58">
        <v>85.6</v>
      </c>
    </row>
    <row r="59" spans="1:3" x14ac:dyDescent="0.35">
      <c r="A59" t="s">
        <v>321</v>
      </c>
      <c r="B59" t="str">
        <f t="shared" si="0"/>
        <v>Haiti</v>
      </c>
      <c r="C59">
        <v>61.7</v>
      </c>
    </row>
    <row r="60" spans="1:3" x14ac:dyDescent="0.35">
      <c r="A60" t="s">
        <v>322</v>
      </c>
      <c r="B60" t="str">
        <f t="shared" si="0"/>
        <v>Honduras</v>
      </c>
      <c r="C60">
        <v>87.2</v>
      </c>
    </row>
    <row r="61" spans="1:3" x14ac:dyDescent="0.35">
      <c r="A61" t="s">
        <v>323</v>
      </c>
      <c r="B61" t="str">
        <f t="shared" si="0"/>
        <v>Hungary</v>
      </c>
      <c r="C61">
        <v>99.1</v>
      </c>
    </row>
    <row r="62" spans="1:3" x14ac:dyDescent="0.35">
      <c r="A62" t="s">
        <v>324</v>
      </c>
      <c r="B62" t="str">
        <f t="shared" si="0"/>
        <v>India</v>
      </c>
      <c r="C62">
        <v>74.400000000000006</v>
      </c>
    </row>
    <row r="63" spans="1:3" x14ac:dyDescent="0.35">
      <c r="A63" t="s">
        <v>325</v>
      </c>
      <c r="B63" t="str">
        <f t="shared" si="0"/>
        <v>Indonesia</v>
      </c>
      <c r="C63">
        <v>95.7</v>
      </c>
    </row>
    <row r="64" spans="1:3" x14ac:dyDescent="0.35">
      <c r="A64" t="s">
        <v>326</v>
      </c>
      <c r="B64" t="str">
        <f t="shared" si="0"/>
        <v>Iran (Islamic Republic of)</v>
      </c>
      <c r="C64">
        <v>85.5</v>
      </c>
    </row>
    <row r="65" spans="1:3" x14ac:dyDescent="0.35">
      <c r="A65" t="s">
        <v>327</v>
      </c>
      <c r="B65" t="str">
        <f t="shared" si="0"/>
        <v>Iraq</v>
      </c>
      <c r="C65">
        <v>85.6</v>
      </c>
    </row>
    <row r="66" spans="1:3" x14ac:dyDescent="0.35">
      <c r="A66" t="s">
        <v>328</v>
      </c>
      <c r="B66" t="str">
        <f t="shared" ref="B66:B129" si="1">TRIM(A66)</f>
        <v>Italy</v>
      </c>
      <c r="C66">
        <v>99.2</v>
      </c>
    </row>
    <row r="67" spans="1:3" x14ac:dyDescent="0.35">
      <c r="A67" t="s">
        <v>329</v>
      </c>
      <c r="B67" t="str">
        <f t="shared" si="1"/>
        <v>Jamaica</v>
      </c>
      <c r="C67">
        <v>88.1</v>
      </c>
    </row>
    <row r="68" spans="1:3" x14ac:dyDescent="0.35">
      <c r="A68" t="s">
        <v>330</v>
      </c>
      <c r="B68" t="str">
        <f t="shared" si="1"/>
        <v>Jordan</v>
      </c>
      <c r="C68">
        <v>98.2</v>
      </c>
    </row>
    <row r="69" spans="1:3" x14ac:dyDescent="0.35">
      <c r="A69" t="s">
        <v>331</v>
      </c>
      <c r="B69" t="str">
        <f t="shared" si="1"/>
        <v>Kazakhstan</v>
      </c>
      <c r="C69">
        <v>99.8</v>
      </c>
    </row>
    <row r="70" spans="1:3" x14ac:dyDescent="0.35">
      <c r="A70" t="s">
        <v>332</v>
      </c>
      <c r="B70" t="str">
        <f t="shared" si="1"/>
        <v>Kenya</v>
      </c>
      <c r="C70">
        <v>81.5</v>
      </c>
    </row>
    <row r="71" spans="1:3" x14ac:dyDescent="0.35">
      <c r="A71" t="s">
        <v>333</v>
      </c>
      <c r="B71" t="str">
        <f t="shared" si="1"/>
        <v>Korea (Democratic People's Rep. of)</v>
      </c>
      <c r="C71">
        <v>100</v>
      </c>
    </row>
    <row r="72" spans="1:3" x14ac:dyDescent="0.35">
      <c r="A72" t="s">
        <v>334</v>
      </c>
      <c r="B72" t="str">
        <f t="shared" si="1"/>
        <v>Kuwait</v>
      </c>
      <c r="C72">
        <v>96.1</v>
      </c>
    </row>
    <row r="73" spans="1:3" x14ac:dyDescent="0.35">
      <c r="A73" t="s">
        <v>335</v>
      </c>
      <c r="B73" t="str">
        <f t="shared" si="1"/>
        <v>Kyrgyzstan</v>
      </c>
      <c r="C73">
        <v>99.6</v>
      </c>
    </row>
    <row r="74" spans="1:3" x14ac:dyDescent="0.35">
      <c r="A74" t="s">
        <v>336</v>
      </c>
      <c r="B74" t="str">
        <f t="shared" si="1"/>
        <v>Lao People's Democratic Republic</v>
      </c>
      <c r="C74">
        <v>84.7</v>
      </c>
    </row>
    <row r="75" spans="1:3" x14ac:dyDescent="0.35">
      <c r="A75" t="s">
        <v>337</v>
      </c>
      <c r="B75" t="str">
        <f t="shared" si="1"/>
        <v>Latvia</v>
      </c>
      <c r="C75">
        <v>99.9</v>
      </c>
    </row>
    <row r="76" spans="1:3" x14ac:dyDescent="0.35">
      <c r="A76" t="s">
        <v>338</v>
      </c>
      <c r="B76" t="str">
        <f t="shared" si="1"/>
        <v>Lebanon</v>
      </c>
      <c r="C76">
        <v>95.1</v>
      </c>
    </row>
    <row r="77" spans="1:3" x14ac:dyDescent="0.35">
      <c r="A77" t="s">
        <v>339</v>
      </c>
      <c r="B77" t="str">
        <f t="shared" si="1"/>
        <v>Lesotho</v>
      </c>
      <c r="C77">
        <v>76.599999999999994</v>
      </c>
    </row>
    <row r="78" spans="1:3" x14ac:dyDescent="0.35">
      <c r="A78" t="s">
        <v>340</v>
      </c>
      <c r="B78" t="str">
        <f t="shared" si="1"/>
        <v>Liberia</v>
      </c>
      <c r="C78">
        <v>48.3</v>
      </c>
    </row>
    <row r="79" spans="1:3" x14ac:dyDescent="0.35">
      <c r="A79" t="s">
        <v>341</v>
      </c>
      <c r="B79" t="str">
        <f t="shared" si="1"/>
        <v>Lithuania</v>
      </c>
      <c r="C79">
        <v>99.8</v>
      </c>
    </row>
    <row r="80" spans="1:3" x14ac:dyDescent="0.35">
      <c r="A80" t="s">
        <v>342</v>
      </c>
      <c r="B80" t="str">
        <f t="shared" si="1"/>
        <v>Madagascar</v>
      </c>
      <c r="C80">
        <v>74.8</v>
      </c>
    </row>
    <row r="81" spans="1:3" x14ac:dyDescent="0.35">
      <c r="A81" t="s">
        <v>343</v>
      </c>
      <c r="B81" t="str">
        <f t="shared" si="1"/>
        <v>Malawi</v>
      </c>
      <c r="C81">
        <v>62.1</v>
      </c>
    </row>
    <row r="82" spans="1:3" x14ac:dyDescent="0.35">
      <c r="A82" t="s">
        <v>344</v>
      </c>
      <c r="B82" t="str">
        <f t="shared" si="1"/>
        <v>Malaysia</v>
      </c>
      <c r="C82">
        <v>94.9</v>
      </c>
    </row>
    <row r="83" spans="1:3" x14ac:dyDescent="0.35">
      <c r="A83" t="s">
        <v>345</v>
      </c>
      <c r="B83" t="str">
        <f t="shared" si="1"/>
        <v>Maldives</v>
      </c>
      <c r="C83">
        <v>97.7</v>
      </c>
    </row>
    <row r="84" spans="1:3" x14ac:dyDescent="0.35">
      <c r="A84" t="s">
        <v>346</v>
      </c>
      <c r="B84" t="str">
        <f t="shared" si="1"/>
        <v>Mali</v>
      </c>
      <c r="C84">
        <v>35.5</v>
      </c>
    </row>
    <row r="85" spans="1:3" x14ac:dyDescent="0.35">
      <c r="A85" t="s">
        <v>347</v>
      </c>
      <c r="B85" t="str">
        <f t="shared" si="1"/>
        <v>Malta</v>
      </c>
      <c r="C85">
        <v>94.5</v>
      </c>
    </row>
    <row r="86" spans="1:3" x14ac:dyDescent="0.35">
      <c r="A86" t="s">
        <v>348</v>
      </c>
      <c r="B86" t="str">
        <f t="shared" si="1"/>
        <v>Marshall Islands</v>
      </c>
      <c r="C86">
        <v>98.3</v>
      </c>
    </row>
    <row r="87" spans="1:3" x14ac:dyDescent="0.35">
      <c r="A87" t="s">
        <v>349</v>
      </c>
      <c r="B87" t="str">
        <f t="shared" si="1"/>
        <v>Mauritania</v>
      </c>
      <c r="C87">
        <v>53.5</v>
      </c>
    </row>
    <row r="88" spans="1:3" x14ac:dyDescent="0.35">
      <c r="A88" t="s">
        <v>350</v>
      </c>
      <c r="B88" t="str">
        <f t="shared" si="1"/>
        <v>Mauritius</v>
      </c>
      <c r="C88">
        <v>91.3</v>
      </c>
    </row>
    <row r="89" spans="1:3" x14ac:dyDescent="0.35">
      <c r="A89" t="s">
        <v>351</v>
      </c>
      <c r="B89" t="str">
        <f t="shared" si="1"/>
        <v>Mexico</v>
      </c>
      <c r="C89">
        <v>95.4</v>
      </c>
    </row>
    <row r="90" spans="1:3" x14ac:dyDescent="0.35">
      <c r="A90" t="s">
        <v>352</v>
      </c>
      <c r="B90" t="str">
        <f t="shared" si="1"/>
        <v>Moldova (Republic of)</v>
      </c>
      <c r="C90">
        <v>99.4</v>
      </c>
    </row>
    <row r="91" spans="1:3" x14ac:dyDescent="0.35">
      <c r="A91" t="s">
        <v>353</v>
      </c>
      <c r="B91" t="str">
        <f t="shared" si="1"/>
        <v>Mongolia</v>
      </c>
      <c r="C91">
        <v>98.4</v>
      </c>
    </row>
    <row r="92" spans="1:3" x14ac:dyDescent="0.35">
      <c r="A92" t="s">
        <v>354</v>
      </c>
      <c r="B92" t="str">
        <f t="shared" si="1"/>
        <v>Montenegro</v>
      </c>
      <c r="C92">
        <v>98.8</v>
      </c>
    </row>
    <row r="93" spans="1:3" x14ac:dyDescent="0.35">
      <c r="A93" t="s">
        <v>355</v>
      </c>
      <c r="B93" t="str">
        <f t="shared" si="1"/>
        <v>Morocco</v>
      </c>
      <c r="C93">
        <v>73.8</v>
      </c>
    </row>
    <row r="94" spans="1:3" x14ac:dyDescent="0.35">
      <c r="A94" t="s">
        <v>356</v>
      </c>
      <c r="B94" t="str">
        <f t="shared" si="1"/>
        <v>Mozambique</v>
      </c>
      <c r="C94">
        <v>60.7</v>
      </c>
    </row>
    <row r="95" spans="1:3" x14ac:dyDescent="0.35">
      <c r="A95" t="s">
        <v>357</v>
      </c>
      <c r="B95" t="str">
        <f t="shared" si="1"/>
        <v>Myanmar</v>
      </c>
      <c r="C95">
        <v>75.599999999999994</v>
      </c>
    </row>
    <row r="96" spans="1:3" x14ac:dyDescent="0.35">
      <c r="A96" t="s">
        <v>358</v>
      </c>
      <c r="B96" t="str">
        <f t="shared" si="1"/>
        <v>Namibia</v>
      </c>
      <c r="C96">
        <v>91.5</v>
      </c>
    </row>
    <row r="97" spans="1:3" x14ac:dyDescent="0.35">
      <c r="A97" t="s">
        <v>359</v>
      </c>
      <c r="B97" t="str">
        <f t="shared" si="1"/>
        <v>Nepal</v>
      </c>
      <c r="C97">
        <v>67.900000000000006</v>
      </c>
    </row>
    <row r="98" spans="1:3" x14ac:dyDescent="0.35">
      <c r="A98" t="s">
        <v>360</v>
      </c>
      <c r="B98" t="str">
        <f t="shared" si="1"/>
        <v>Nicaragua</v>
      </c>
      <c r="C98">
        <v>82.6</v>
      </c>
    </row>
    <row r="99" spans="1:3" x14ac:dyDescent="0.35">
      <c r="A99" t="s">
        <v>361</v>
      </c>
      <c r="B99" t="str">
        <f t="shared" si="1"/>
        <v>Niger</v>
      </c>
      <c r="C99">
        <v>30.6</v>
      </c>
    </row>
    <row r="100" spans="1:3" x14ac:dyDescent="0.35">
      <c r="A100" t="s">
        <v>362</v>
      </c>
      <c r="B100" t="str">
        <f t="shared" si="1"/>
        <v>Nigeria</v>
      </c>
      <c r="C100">
        <v>62</v>
      </c>
    </row>
    <row r="101" spans="1:3" x14ac:dyDescent="0.35">
      <c r="A101" t="s">
        <v>363</v>
      </c>
      <c r="B101" t="str">
        <f t="shared" si="1"/>
        <v>North Macedonia</v>
      </c>
      <c r="C101">
        <v>97.8</v>
      </c>
    </row>
    <row r="102" spans="1:3" x14ac:dyDescent="0.35">
      <c r="A102" t="s">
        <v>364</v>
      </c>
      <c r="B102" t="str">
        <f t="shared" si="1"/>
        <v>Oman</v>
      </c>
      <c r="C102">
        <v>95.7</v>
      </c>
    </row>
    <row r="103" spans="1:3" x14ac:dyDescent="0.35">
      <c r="A103" t="s">
        <v>365</v>
      </c>
      <c r="B103" t="str">
        <f t="shared" si="1"/>
        <v>Pakistan</v>
      </c>
      <c r="C103">
        <v>59.1</v>
      </c>
    </row>
    <row r="104" spans="1:3" x14ac:dyDescent="0.35">
      <c r="A104" t="s">
        <v>366</v>
      </c>
      <c r="B104" t="str">
        <f t="shared" si="1"/>
        <v>Palau</v>
      </c>
      <c r="C104">
        <v>96.6</v>
      </c>
    </row>
    <row r="105" spans="1:3" x14ac:dyDescent="0.35">
      <c r="A105" t="s">
        <v>367</v>
      </c>
      <c r="B105" t="str">
        <f t="shared" si="1"/>
        <v>Palestine, State of</v>
      </c>
      <c r="C105">
        <v>97.2</v>
      </c>
    </row>
    <row r="106" spans="1:3" x14ac:dyDescent="0.35">
      <c r="A106" t="s">
        <v>368</v>
      </c>
      <c r="B106" t="str">
        <f t="shared" si="1"/>
        <v>Panama</v>
      </c>
      <c r="C106">
        <v>95.4</v>
      </c>
    </row>
    <row r="107" spans="1:3" x14ac:dyDescent="0.35">
      <c r="A107" t="s">
        <v>369</v>
      </c>
      <c r="B107" t="str">
        <f t="shared" si="1"/>
        <v>Papua New Guinea</v>
      </c>
      <c r="C107">
        <v>61.6</v>
      </c>
    </row>
    <row r="108" spans="1:3" x14ac:dyDescent="0.35">
      <c r="A108" t="s">
        <v>370</v>
      </c>
      <c r="B108" t="str">
        <f t="shared" si="1"/>
        <v>Paraguay</v>
      </c>
      <c r="C108">
        <v>94</v>
      </c>
    </row>
    <row r="109" spans="1:3" x14ac:dyDescent="0.35">
      <c r="A109" t="s">
        <v>371</v>
      </c>
      <c r="B109" t="str">
        <f t="shared" si="1"/>
        <v>Peru</v>
      </c>
      <c r="C109">
        <v>94.4</v>
      </c>
    </row>
    <row r="110" spans="1:3" x14ac:dyDescent="0.35">
      <c r="A110" t="s">
        <v>372</v>
      </c>
      <c r="B110" t="str">
        <f t="shared" si="1"/>
        <v>Philippines</v>
      </c>
      <c r="C110">
        <v>98.2</v>
      </c>
    </row>
    <row r="111" spans="1:3" x14ac:dyDescent="0.35">
      <c r="A111" t="s">
        <v>373</v>
      </c>
      <c r="B111" t="str">
        <f t="shared" si="1"/>
        <v>Poland</v>
      </c>
      <c r="C111">
        <v>98.7</v>
      </c>
    </row>
    <row r="112" spans="1:3" x14ac:dyDescent="0.35">
      <c r="A112" t="s">
        <v>374</v>
      </c>
      <c r="B112" t="str">
        <f t="shared" si="1"/>
        <v>Portugal</v>
      </c>
      <c r="C112">
        <v>96.1</v>
      </c>
    </row>
    <row r="113" spans="1:3" x14ac:dyDescent="0.35">
      <c r="A113" t="s">
        <v>375</v>
      </c>
      <c r="B113" t="str">
        <f t="shared" si="1"/>
        <v>Qatar</v>
      </c>
      <c r="C113">
        <v>93.5</v>
      </c>
    </row>
    <row r="114" spans="1:3" x14ac:dyDescent="0.35">
      <c r="A114" t="s">
        <v>376</v>
      </c>
      <c r="B114" t="str">
        <f t="shared" si="1"/>
        <v>Romania</v>
      </c>
      <c r="C114">
        <v>98.8</v>
      </c>
    </row>
    <row r="115" spans="1:3" x14ac:dyDescent="0.35">
      <c r="A115" t="s">
        <v>377</v>
      </c>
      <c r="B115" t="str">
        <f t="shared" si="1"/>
        <v>Russian Federation</v>
      </c>
      <c r="C115">
        <v>99.7</v>
      </c>
    </row>
    <row r="116" spans="1:3" x14ac:dyDescent="0.35">
      <c r="A116" t="s">
        <v>378</v>
      </c>
      <c r="B116" t="str">
        <f t="shared" si="1"/>
        <v>Rwanda</v>
      </c>
      <c r="C116">
        <v>73.2</v>
      </c>
    </row>
    <row r="117" spans="1:3" x14ac:dyDescent="0.35">
      <c r="A117" t="s">
        <v>379</v>
      </c>
      <c r="B117" t="str">
        <f t="shared" si="1"/>
        <v>Samoa</v>
      </c>
      <c r="C117">
        <v>99.1</v>
      </c>
    </row>
    <row r="118" spans="1:3" x14ac:dyDescent="0.35">
      <c r="A118" t="s">
        <v>380</v>
      </c>
      <c r="B118" t="str">
        <f t="shared" si="1"/>
        <v>San Marino</v>
      </c>
      <c r="C118">
        <v>99.9</v>
      </c>
    </row>
    <row r="119" spans="1:3" x14ac:dyDescent="0.35">
      <c r="A119" t="s">
        <v>381</v>
      </c>
      <c r="B119" t="str">
        <f t="shared" si="1"/>
        <v>Sao Tome and Principe</v>
      </c>
      <c r="C119">
        <v>92.8</v>
      </c>
    </row>
    <row r="120" spans="1:3" x14ac:dyDescent="0.35">
      <c r="A120" t="s">
        <v>382</v>
      </c>
      <c r="B120" t="str">
        <f t="shared" si="1"/>
        <v>Saudi Arabia</v>
      </c>
      <c r="C120">
        <v>95.3</v>
      </c>
    </row>
    <row r="121" spans="1:3" x14ac:dyDescent="0.35">
      <c r="A121" t="s">
        <v>383</v>
      </c>
      <c r="B121" t="str">
        <f t="shared" si="1"/>
        <v>Senegal</v>
      </c>
      <c r="C121">
        <v>51.9</v>
      </c>
    </row>
    <row r="122" spans="1:3" x14ac:dyDescent="0.35">
      <c r="A122" t="s">
        <v>384</v>
      </c>
      <c r="B122" t="str">
        <f t="shared" si="1"/>
        <v>Serbia</v>
      </c>
      <c r="C122">
        <v>98.8</v>
      </c>
    </row>
    <row r="123" spans="1:3" x14ac:dyDescent="0.35">
      <c r="A123" t="s">
        <v>385</v>
      </c>
      <c r="B123" t="str">
        <f t="shared" si="1"/>
        <v>Seychelles</v>
      </c>
      <c r="C123">
        <v>95.9</v>
      </c>
    </row>
    <row r="124" spans="1:3" x14ac:dyDescent="0.35">
      <c r="A124" t="s">
        <v>386</v>
      </c>
      <c r="B124" t="str">
        <f t="shared" si="1"/>
        <v>Sierra Leone</v>
      </c>
      <c r="C124">
        <v>43.2</v>
      </c>
    </row>
    <row r="125" spans="1:3" x14ac:dyDescent="0.35">
      <c r="A125" t="s">
        <v>387</v>
      </c>
      <c r="B125" t="str">
        <f t="shared" si="1"/>
        <v>Singapore</v>
      </c>
      <c r="C125">
        <v>97.3</v>
      </c>
    </row>
    <row r="126" spans="1:3" x14ac:dyDescent="0.35">
      <c r="A126" t="s">
        <v>388</v>
      </c>
      <c r="B126" t="str">
        <f t="shared" si="1"/>
        <v>Slovenia</v>
      </c>
      <c r="C126">
        <v>99.7</v>
      </c>
    </row>
    <row r="127" spans="1:3" x14ac:dyDescent="0.35">
      <c r="A127" t="s">
        <v>389</v>
      </c>
      <c r="B127" t="str">
        <f t="shared" si="1"/>
        <v>Solomon Islands</v>
      </c>
      <c r="C127">
        <v>76.599999999999994</v>
      </c>
    </row>
    <row r="128" spans="1:3" x14ac:dyDescent="0.35">
      <c r="A128" t="s">
        <v>390</v>
      </c>
      <c r="B128" t="str">
        <f t="shared" si="1"/>
        <v>South Africa</v>
      </c>
      <c r="C128">
        <v>87</v>
      </c>
    </row>
    <row r="129" spans="1:3" x14ac:dyDescent="0.35">
      <c r="A129" t="s">
        <v>391</v>
      </c>
      <c r="B129" t="str">
        <f t="shared" si="1"/>
        <v>South Sudan</v>
      </c>
      <c r="C129">
        <v>34.5</v>
      </c>
    </row>
    <row r="130" spans="1:3" x14ac:dyDescent="0.35">
      <c r="A130" t="s">
        <v>392</v>
      </c>
      <c r="B130" t="str">
        <f t="shared" ref="B130:B193" si="2">TRIM(A130)</f>
        <v>Spain</v>
      </c>
      <c r="C130">
        <v>98.4</v>
      </c>
    </row>
    <row r="131" spans="1:3" x14ac:dyDescent="0.35">
      <c r="A131" t="s">
        <v>393</v>
      </c>
      <c r="B131" t="str">
        <f t="shared" si="2"/>
        <v>Sri Lanka</v>
      </c>
      <c r="C131">
        <v>91.7</v>
      </c>
    </row>
    <row r="132" spans="1:3" x14ac:dyDescent="0.35">
      <c r="A132" t="s">
        <v>394</v>
      </c>
      <c r="B132" t="str">
        <f t="shared" si="2"/>
        <v>Sudan</v>
      </c>
      <c r="C132">
        <v>60.7</v>
      </c>
    </row>
    <row r="133" spans="1:3" x14ac:dyDescent="0.35">
      <c r="A133" t="s">
        <v>395</v>
      </c>
      <c r="B133" t="str">
        <f t="shared" si="2"/>
        <v>Suriname</v>
      </c>
      <c r="C133">
        <v>94.4</v>
      </c>
    </row>
    <row r="134" spans="1:3" x14ac:dyDescent="0.35">
      <c r="A134" t="s">
        <v>396</v>
      </c>
      <c r="B134" t="str">
        <f t="shared" si="2"/>
        <v>Tajikistan</v>
      </c>
      <c r="C134">
        <v>99.8</v>
      </c>
    </row>
    <row r="135" spans="1:3" x14ac:dyDescent="0.35">
      <c r="A135" t="s">
        <v>397</v>
      </c>
      <c r="B135" t="str">
        <f t="shared" si="2"/>
        <v>Tanzania (United Republic of)</v>
      </c>
      <c r="C135">
        <v>77.900000000000006</v>
      </c>
    </row>
    <row r="136" spans="1:3" x14ac:dyDescent="0.35">
      <c r="A136" t="s">
        <v>398</v>
      </c>
      <c r="B136" t="str">
        <f t="shared" si="2"/>
        <v>Thailand</v>
      </c>
      <c r="C136">
        <v>93.8</v>
      </c>
    </row>
    <row r="137" spans="1:3" x14ac:dyDescent="0.35">
      <c r="A137" t="s">
        <v>399</v>
      </c>
      <c r="B137" t="str">
        <f t="shared" si="2"/>
        <v>Timor-Leste</v>
      </c>
      <c r="C137">
        <v>68.099999999999994</v>
      </c>
    </row>
    <row r="138" spans="1:3" x14ac:dyDescent="0.35">
      <c r="A138" t="s">
        <v>400</v>
      </c>
      <c r="B138" t="str">
        <f t="shared" si="2"/>
        <v>Togo</v>
      </c>
      <c r="C138">
        <v>63.7</v>
      </c>
    </row>
    <row r="139" spans="1:3" x14ac:dyDescent="0.35">
      <c r="A139" t="s">
        <v>401</v>
      </c>
      <c r="B139" t="str">
        <f t="shared" si="2"/>
        <v>Tonga</v>
      </c>
      <c r="C139">
        <v>99.4</v>
      </c>
    </row>
    <row r="140" spans="1:3" x14ac:dyDescent="0.35">
      <c r="A140" t="s">
        <v>402</v>
      </c>
      <c r="B140" t="str">
        <f t="shared" si="2"/>
        <v>Trinidad and Tobago</v>
      </c>
      <c r="C140">
        <v>98.7</v>
      </c>
    </row>
    <row r="141" spans="1:3" x14ac:dyDescent="0.35">
      <c r="A141" t="s">
        <v>403</v>
      </c>
      <c r="B141" t="str">
        <f t="shared" si="2"/>
        <v>Tunisia</v>
      </c>
      <c r="C141">
        <v>79</v>
      </c>
    </row>
    <row r="142" spans="1:3" x14ac:dyDescent="0.35">
      <c r="A142" t="s">
        <v>404</v>
      </c>
      <c r="B142" t="str">
        <f t="shared" si="2"/>
        <v>Turkey</v>
      </c>
      <c r="C142">
        <v>96.2</v>
      </c>
    </row>
    <row r="143" spans="1:3" x14ac:dyDescent="0.35">
      <c r="A143" t="s">
        <v>405</v>
      </c>
      <c r="B143" t="str">
        <f t="shared" si="2"/>
        <v>Turkmenistan</v>
      </c>
      <c r="C143">
        <v>99.7</v>
      </c>
    </row>
    <row r="144" spans="1:3" x14ac:dyDescent="0.35">
      <c r="A144" t="s">
        <v>406</v>
      </c>
      <c r="B144" t="str">
        <f t="shared" si="2"/>
        <v>Uganda</v>
      </c>
      <c r="C144">
        <v>76.5</v>
      </c>
    </row>
    <row r="145" spans="1:3" x14ac:dyDescent="0.35">
      <c r="A145" t="s">
        <v>407</v>
      </c>
      <c r="B145" t="str">
        <f t="shared" si="2"/>
        <v>Ukraine</v>
      </c>
      <c r="C145">
        <v>100</v>
      </c>
    </row>
    <row r="146" spans="1:3" x14ac:dyDescent="0.35">
      <c r="A146" t="s">
        <v>408</v>
      </c>
      <c r="B146" t="str">
        <f t="shared" si="2"/>
        <v>United Arab Emirates</v>
      </c>
      <c r="C146">
        <v>93.2</v>
      </c>
    </row>
    <row r="147" spans="1:3" x14ac:dyDescent="0.35">
      <c r="A147" t="s">
        <v>409</v>
      </c>
      <c r="B147" t="str">
        <f t="shared" si="2"/>
        <v>Uruguay</v>
      </c>
      <c r="C147">
        <v>98.7</v>
      </c>
    </row>
    <row r="148" spans="1:3" x14ac:dyDescent="0.35">
      <c r="A148" t="s">
        <v>410</v>
      </c>
      <c r="B148" t="str">
        <f t="shared" si="2"/>
        <v>Uzbekistan</v>
      </c>
      <c r="C148">
        <v>100</v>
      </c>
    </row>
    <row r="149" spans="1:3" x14ac:dyDescent="0.35">
      <c r="A149" t="s">
        <v>411</v>
      </c>
      <c r="B149" t="str">
        <f t="shared" si="2"/>
        <v>Vanuatu</v>
      </c>
      <c r="C149">
        <v>87.5</v>
      </c>
    </row>
    <row r="150" spans="1:3" x14ac:dyDescent="0.35">
      <c r="A150" t="s">
        <v>412</v>
      </c>
      <c r="B150" t="str">
        <f t="shared" si="2"/>
        <v>Venezuela (Bolivarian Republic of)</v>
      </c>
      <c r="C150">
        <v>97.1</v>
      </c>
    </row>
    <row r="151" spans="1:3" x14ac:dyDescent="0.35">
      <c r="A151" t="s">
        <v>413</v>
      </c>
      <c r="B151" t="str">
        <f t="shared" si="2"/>
        <v>Viet Nam</v>
      </c>
      <c r="C151">
        <v>95</v>
      </c>
    </row>
    <row r="152" spans="1:3" x14ac:dyDescent="0.35">
      <c r="A152" t="s">
        <v>414</v>
      </c>
      <c r="B152" t="str">
        <f t="shared" si="2"/>
        <v>Zambia</v>
      </c>
      <c r="C152">
        <v>86.7</v>
      </c>
    </row>
    <row r="153" spans="1:3" x14ac:dyDescent="0.35">
      <c r="A153" t="s">
        <v>415</v>
      </c>
      <c r="B153" t="str">
        <f t="shared" si="2"/>
        <v>Zimbabwe</v>
      </c>
      <c r="C153">
        <v>88.7</v>
      </c>
    </row>
    <row r="154" spans="1:3" x14ac:dyDescent="0.35">
      <c r="A154" t="s">
        <v>416</v>
      </c>
      <c r="B154" t="str">
        <f t="shared" si="2"/>
        <v>Andorra</v>
      </c>
      <c r="C154" t="s">
        <v>471</v>
      </c>
    </row>
    <row r="155" spans="1:3" x14ac:dyDescent="0.35">
      <c r="A155" t="s">
        <v>417</v>
      </c>
      <c r="B155" t="str">
        <f t="shared" si="2"/>
        <v>Australia</v>
      </c>
      <c r="C155" t="s">
        <v>471</v>
      </c>
    </row>
    <row r="156" spans="1:3" x14ac:dyDescent="0.35">
      <c r="A156" t="s">
        <v>418</v>
      </c>
      <c r="B156" t="str">
        <f t="shared" si="2"/>
        <v>Austria</v>
      </c>
      <c r="C156" t="s">
        <v>471</v>
      </c>
    </row>
    <row r="157" spans="1:3" x14ac:dyDescent="0.35">
      <c r="A157" t="s">
        <v>419</v>
      </c>
      <c r="B157" t="str">
        <f t="shared" si="2"/>
        <v>Belgium</v>
      </c>
      <c r="C157" t="s">
        <v>471</v>
      </c>
    </row>
    <row r="158" spans="1:3" x14ac:dyDescent="0.35">
      <c r="A158" t="s">
        <v>420</v>
      </c>
      <c r="B158" t="str">
        <f t="shared" si="2"/>
        <v>Bahamas</v>
      </c>
      <c r="C158" t="s">
        <v>471</v>
      </c>
    </row>
    <row r="159" spans="1:3" x14ac:dyDescent="0.35">
      <c r="A159" t="s">
        <v>421</v>
      </c>
      <c r="B159" t="str">
        <f t="shared" si="2"/>
        <v>Belize</v>
      </c>
      <c r="C159" t="s">
        <v>471</v>
      </c>
    </row>
    <row r="160" spans="1:3" x14ac:dyDescent="0.35">
      <c r="A160" t="s">
        <v>422</v>
      </c>
      <c r="B160" t="str">
        <f t="shared" si="2"/>
        <v>Canada</v>
      </c>
      <c r="C160" t="s">
        <v>471</v>
      </c>
    </row>
    <row r="161" spans="1:3" x14ac:dyDescent="0.35">
      <c r="A161" t="s">
        <v>423</v>
      </c>
      <c r="B161" t="str">
        <f t="shared" si="2"/>
        <v>Switzerland</v>
      </c>
      <c r="C161" t="s">
        <v>471</v>
      </c>
    </row>
    <row r="162" spans="1:3" x14ac:dyDescent="0.35">
      <c r="A162" t="s">
        <v>424</v>
      </c>
      <c r="B162" t="str">
        <f t="shared" si="2"/>
        <v>Czechia</v>
      </c>
      <c r="C162" t="s">
        <v>471</v>
      </c>
    </row>
    <row r="163" spans="1:3" x14ac:dyDescent="0.35">
      <c r="A163" t="s">
        <v>425</v>
      </c>
      <c r="B163" t="str">
        <f t="shared" si="2"/>
        <v>Germany</v>
      </c>
      <c r="C163" t="s">
        <v>471</v>
      </c>
    </row>
    <row r="164" spans="1:3" x14ac:dyDescent="0.35">
      <c r="A164" t="s">
        <v>426</v>
      </c>
      <c r="B164" t="str">
        <f t="shared" si="2"/>
        <v>Djibouti</v>
      </c>
      <c r="C164" t="s">
        <v>471</v>
      </c>
    </row>
    <row r="165" spans="1:3" x14ac:dyDescent="0.35">
      <c r="A165" t="s">
        <v>427</v>
      </c>
      <c r="B165" t="str">
        <f t="shared" si="2"/>
        <v>Dominica</v>
      </c>
      <c r="C165" t="s">
        <v>471</v>
      </c>
    </row>
    <row r="166" spans="1:3" x14ac:dyDescent="0.35">
      <c r="A166" t="s">
        <v>428</v>
      </c>
      <c r="B166" t="str">
        <f t="shared" si="2"/>
        <v>Denmark</v>
      </c>
      <c r="C166" t="s">
        <v>471</v>
      </c>
    </row>
    <row r="167" spans="1:3" x14ac:dyDescent="0.35">
      <c r="A167" t="s">
        <v>429</v>
      </c>
      <c r="B167" t="str">
        <f t="shared" si="2"/>
        <v>Finland</v>
      </c>
      <c r="C167" t="s">
        <v>471</v>
      </c>
    </row>
    <row r="168" spans="1:3" x14ac:dyDescent="0.35">
      <c r="A168" t="s">
        <v>430</v>
      </c>
      <c r="B168" t="str">
        <f t="shared" si="2"/>
        <v>France</v>
      </c>
      <c r="C168" t="s">
        <v>471</v>
      </c>
    </row>
    <row r="169" spans="1:3" x14ac:dyDescent="0.35">
      <c r="A169" t="s">
        <v>431</v>
      </c>
      <c r="B169" t="str">
        <f t="shared" si="2"/>
        <v>Micronesia (Federated States of)</v>
      </c>
      <c r="C169" t="s">
        <v>471</v>
      </c>
    </row>
    <row r="170" spans="1:3" x14ac:dyDescent="0.35">
      <c r="A170" t="s">
        <v>473</v>
      </c>
      <c r="B170" t="str">
        <f t="shared" si="2"/>
        <v>The United Kingdom</v>
      </c>
      <c r="C170" t="s">
        <v>471</v>
      </c>
    </row>
    <row r="171" spans="1:3" x14ac:dyDescent="0.35">
      <c r="A171" t="s">
        <v>433</v>
      </c>
      <c r="B171" t="str">
        <f t="shared" si="2"/>
        <v>Hong Kong, China (SAR)</v>
      </c>
      <c r="C171" t="s">
        <v>471</v>
      </c>
    </row>
    <row r="172" spans="1:3" x14ac:dyDescent="0.35">
      <c r="A172" t="s">
        <v>434</v>
      </c>
      <c r="B172" t="str">
        <f t="shared" si="2"/>
        <v>Ireland</v>
      </c>
      <c r="C172" t="s">
        <v>471</v>
      </c>
    </row>
    <row r="173" spans="1:3" x14ac:dyDescent="0.35">
      <c r="A173" t="s">
        <v>435</v>
      </c>
      <c r="B173" t="str">
        <f t="shared" si="2"/>
        <v>Iceland</v>
      </c>
      <c r="C173" t="s">
        <v>471</v>
      </c>
    </row>
    <row r="174" spans="1:3" x14ac:dyDescent="0.35">
      <c r="A174" t="s">
        <v>436</v>
      </c>
      <c r="B174" t="str">
        <f t="shared" si="2"/>
        <v>Israel</v>
      </c>
      <c r="C174" t="s">
        <v>471</v>
      </c>
    </row>
    <row r="175" spans="1:3" x14ac:dyDescent="0.35">
      <c r="A175" t="s">
        <v>437</v>
      </c>
      <c r="B175" t="str">
        <f t="shared" si="2"/>
        <v>Japan</v>
      </c>
      <c r="C175" t="s">
        <v>471</v>
      </c>
    </row>
    <row r="176" spans="1:3" x14ac:dyDescent="0.35">
      <c r="A176" t="s">
        <v>438</v>
      </c>
      <c r="B176" t="str">
        <f t="shared" si="2"/>
        <v>Kiribati</v>
      </c>
      <c r="C176" t="s">
        <v>471</v>
      </c>
    </row>
    <row r="177" spans="1:3" x14ac:dyDescent="0.35">
      <c r="A177" t="s">
        <v>439</v>
      </c>
      <c r="B177" t="str">
        <f t="shared" si="2"/>
        <v>Saint Kitts and Nevis</v>
      </c>
      <c r="C177" t="s">
        <v>471</v>
      </c>
    </row>
    <row r="178" spans="1:3" x14ac:dyDescent="0.35">
      <c r="A178" t="s">
        <v>440</v>
      </c>
      <c r="B178" t="str">
        <f t="shared" si="2"/>
        <v>Korea (Republic of)</v>
      </c>
      <c r="C178" t="s">
        <v>471</v>
      </c>
    </row>
    <row r="179" spans="1:3" x14ac:dyDescent="0.35">
      <c r="A179" t="s">
        <v>441</v>
      </c>
      <c r="B179" t="str">
        <f t="shared" si="2"/>
        <v>Libya</v>
      </c>
      <c r="C179" t="s">
        <v>471</v>
      </c>
    </row>
    <row r="180" spans="1:3" x14ac:dyDescent="0.35">
      <c r="A180" t="s">
        <v>442</v>
      </c>
      <c r="B180" t="str">
        <f t="shared" si="2"/>
        <v>Saint Lucia</v>
      </c>
      <c r="C180" t="s">
        <v>471</v>
      </c>
    </row>
    <row r="181" spans="1:3" x14ac:dyDescent="0.35">
      <c r="A181" t="s">
        <v>443</v>
      </c>
      <c r="B181" t="str">
        <f t="shared" si="2"/>
        <v>Liechtenstein</v>
      </c>
      <c r="C181" t="s">
        <v>471</v>
      </c>
    </row>
    <row r="182" spans="1:3" x14ac:dyDescent="0.35">
      <c r="A182" t="s">
        <v>444</v>
      </c>
      <c r="B182" t="str">
        <f t="shared" si="2"/>
        <v>Luxembourg</v>
      </c>
      <c r="C182" t="s">
        <v>471</v>
      </c>
    </row>
    <row r="183" spans="1:3" x14ac:dyDescent="0.35">
      <c r="A183" t="s">
        <v>445</v>
      </c>
      <c r="B183" t="str">
        <f t="shared" si="2"/>
        <v>Netherlands</v>
      </c>
      <c r="C183" t="s">
        <v>471</v>
      </c>
    </row>
    <row r="184" spans="1:3" x14ac:dyDescent="0.35">
      <c r="A184" t="s">
        <v>446</v>
      </c>
      <c r="B184" t="str">
        <f t="shared" si="2"/>
        <v>Norway</v>
      </c>
      <c r="C184" t="s">
        <v>471</v>
      </c>
    </row>
    <row r="185" spans="1:3" x14ac:dyDescent="0.35">
      <c r="A185" t="s">
        <v>447</v>
      </c>
      <c r="B185" t="str">
        <f t="shared" si="2"/>
        <v>New Zealand</v>
      </c>
      <c r="C185" t="s">
        <v>471</v>
      </c>
    </row>
    <row r="186" spans="1:3" x14ac:dyDescent="0.35">
      <c r="A186" t="s">
        <v>448</v>
      </c>
      <c r="B186" t="str">
        <f t="shared" si="2"/>
        <v>Slovakia</v>
      </c>
      <c r="C186" t="s">
        <v>471</v>
      </c>
    </row>
    <row r="187" spans="1:3" x14ac:dyDescent="0.35">
      <c r="A187" t="s">
        <v>449</v>
      </c>
      <c r="B187" t="str">
        <f t="shared" si="2"/>
        <v>Sweden</v>
      </c>
      <c r="C187" t="s">
        <v>471</v>
      </c>
    </row>
    <row r="188" spans="1:3" x14ac:dyDescent="0.35">
      <c r="A188" t="s">
        <v>450</v>
      </c>
      <c r="B188" t="str">
        <f t="shared" si="2"/>
        <v>Syrian Arab Republic</v>
      </c>
      <c r="C188" t="s">
        <v>471</v>
      </c>
    </row>
    <row r="189" spans="1:3" x14ac:dyDescent="0.35">
      <c r="A189" t="s">
        <v>461</v>
      </c>
      <c r="B189" t="str">
        <f t="shared" si="2"/>
        <v>Arab States</v>
      </c>
      <c r="C189" t="s">
        <v>471</v>
      </c>
    </row>
    <row r="190" spans="1:3" x14ac:dyDescent="0.35">
      <c r="A190" t="s">
        <v>452</v>
      </c>
      <c r="B190" t="str">
        <f t="shared" si="2"/>
        <v>Saint Vincent and the Grenadines</v>
      </c>
      <c r="C190" t="s">
        <v>471</v>
      </c>
    </row>
    <row r="191" spans="1:3" x14ac:dyDescent="0.35">
      <c r="A191" t="s">
        <v>453</v>
      </c>
      <c r="B191" t="str">
        <f t="shared" si="2"/>
        <v>Yemen</v>
      </c>
      <c r="C191" t="s">
        <v>471</v>
      </c>
    </row>
    <row r="192" spans="1:3" x14ac:dyDescent="0.35">
      <c r="A192" t="s">
        <v>454</v>
      </c>
      <c r="B192" t="str">
        <f t="shared" si="2"/>
        <v>Human Development</v>
      </c>
      <c r="C192" t="s">
        <v>471</v>
      </c>
    </row>
    <row r="193" spans="1:3" x14ac:dyDescent="0.35">
      <c r="A193" t="s">
        <v>455</v>
      </c>
      <c r="B193" t="str">
        <f t="shared" si="2"/>
        <v>Very high human development</v>
      </c>
      <c r="C193">
        <v>98.1</v>
      </c>
    </row>
    <row r="194" spans="1:3" x14ac:dyDescent="0.35">
      <c r="A194" t="s">
        <v>456</v>
      </c>
      <c r="B194" t="str">
        <f t="shared" ref="B194:B208" si="3">TRIM(A194)</f>
        <v>High human development</v>
      </c>
      <c r="C194">
        <v>94.8</v>
      </c>
    </row>
    <row r="195" spans="1:3" x14ac:dyDescent="0.35">
      <c r="A195" t="s">
        <v>457</v>
      </c>
      <c r="B195" t="str">
        <f t="shared" si="3"/>
        <v>Medium human development</v>
      </c>
      <c r="C195">
        <v>73.8</v>
      </c>
    </row>
    <row r="196" spans="1:3" x14ac:dyDescent="0.35">
      <c r="A196" t="s">
        <v>458</v>
      </c>
      <c r="B196" t="str">
        <f t="shared" si="3"/>
        <v>Low human development</v>
      </c>
      <c r="C196">
        <v>59</v>
      </c>
    </row>
    <row r="197" spans="1:3" x14ac:dyDescent="0.35">
      <c r="A197" t="s">
        <v>459</v>
      </c>
      <c r="B197" t="str">
        <f t="shared" si="3"/>
        <v>Developing Countries</v>
      </c>
      <c r="C197">
        <v>84</v>
      </c>
    </row>
    <row r="198" spans="1:3" x14ac:dyDescent="0.35">
      <c r="A198" t="s">
        <v>460</v>
      </c>
      <c r="B198" t="str">
        <f t="shared" si="3"/>
        <v>Regions</v>
      </c>
    </row>
    <row r="199" spans="1:3" x14ac:dyDescent="0.35">
      <c r="A199" t="s">
        <v>461</v>
      </c>
      <c r="B199" t="str">
        <f t="shared" si="3"/>
        <v>Arab States</v>
      </c>
      <c r="C199">
        <v>79.400000000000006</v>
      </c>
    </row>
    <row r="200" spans="1:3" x14ac:dyDescent="0.35">
      <c r="A200" t="s">
        <v>462</v>
      </c>
      <c r="B200" t="str">
        <f t="shared" si="3"/>
        <v>East Asia and the Pacific</v>
      </c>
      <c r="C200">
        <v>95.8</v>
      </c>
    </row>
    <row r="201" spans="1:3" x14ac:dyDescent="0.35">
      <c r="A201" t="s">
        <v>463</v>
      </c>
      <c r="B201" t="str">
        <f t="shared" si="3"/>
        <v>Europe and Central Asia</v>
      </c>
      <c r="C201">
        <v>98.5</v>
      </c>
    </row>
    <row r="202" spans="1:3" x14ac:dyDescent="0.35">
      <c r="A202" t="s">
        <v>464</v>
      </c>
      <c r="B202" t="str">
        <f t="shared" si="3"/>
        <v>Latin America and the Caribbean</v>
      </c>
      <c r="C202">
        <v>93.7</v>
      </c>
    </row>
    <row r="203" spans="1:3" x14ac:dyDescent="0.35">
      <c r="A203" t="s">
        <v>465</v>
      </c>
      <c r="B203" t="str">
        <f t="shared" si="3"/>
        <v>South Asia</v>
      </c>
      <c r="C203">
        <v>72.900000000000006</v>
      </c>
    </row>
    <row r="204" spans="1:3" x14ac:dyDescent="0.35">
      <c r="A204" t="s">
        <v>466</v>
      </c>
      <c r="B204" t="str">
        <f t="shared" si="3"/>
        <v>Sub-Saharan Africa</v>
      </c>
      <c r="C204">
        <v>65.3</v>
      </c>
    </row>
    <row r="205" spans="1:3" x14ac:dyDescent="0.35">
      <c r="A205" t="s">
        <v>467</v>
      </c>
      <c r="B205" t="str">
        <f t="shared" si="3"/>
        <v>Least Developed Countries</v>
      </c>
      <c r="C205">
        <v>64.400000000000006</v>
      </c>
    </row>
    <row r="206" spans="1:3" x14ac:dyDescent="0.35">
      <c r="A206" t="s">
        <v>468</v>
      </c>
      <c r="B206" t="str">
        <f t="shared" si="3"/>
        <v>Small Island Developing States</v>
      </c>
      <c r="C206">
        <v>84.2</v>
      </c>
    </row>
    <row r="207" spans="1:3" x14ac:dyDescent="0.35">
      <c r="A207" t="s">
        <v>469</v>
      </c>
      <c r="B207" t="str">
        <f t="shared" si="3"/>
        <v>Organization for Economic Co-operation and Development</v>
      </c>
      <c r="C207" t="s">
        <v>471</v>
      </c>
    </row>
    <row r="208" spans="1:3" x14ac:dyDescent="0.35">
      <c r="A208" t="s">
        <v>470</v>
      </c>
      <c r="B208" t="str">
        <f t="shared" si="3"/>
        <v>World</v>
      </c>
      <c r="C208">
        <v>84.9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WHO COVID-19 global table data </vt:lpstr>
      <vt:lpstr>Forest area (% of total land ar</vt:lpstr>
      <vt:lpstr>GDP per capita (2017 PPP $)</vt:lpstr>
      <vt:lpstr>Government expenditure on educa</vt:lpstr>
      <vt:lpstr>Human Development Index (HDI)	</vt:lpstr>
      <vt:lpstr>Income Index</vt:lpstr>
      <vt:lpstr>Internet users, total (% of pop</vt:lpstr>
      <vt:lpstr>Life expectancy index</vt:lpstr>
      <vt:lpstr>Literacy 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Pawar, Suhas Mahadev (Cognizant)</dc:creator>
  <cp:lastModifiedBy>Pawar, Suhas Mahadev (Cognizant)</cp:lastModifiedBy>
  <dcterms:created xsi:type="dcterms:W3CDTF">2021-07-11T05:58:46Z</dcterms:created>
  <dcterms:modified xsi:type="dcterms:W3CDTF">2021-07-11T07:03:44Z</dcterms:modified>
</cp:coreProperties>
</file>